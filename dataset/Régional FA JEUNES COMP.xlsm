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imon\OneDrive\Bureau\StreamBFC\ProjetOverlay\OverlayPowerlifting\dataset\"/>
    </mc:Choice>
  </mc:AlternateContent>
  <xr:revisionPtr revIDLastSave="0" documentId="13_ncr:1_{4E8F129C-A3FA-48B6-9CA6-7408FF6CED91}" xr6:coauthVersionLast="47" xr6:coauthVersionMax="47" xr10:uidLastSave="{00000000-0000-0000-0000-000000000000}"/>
  <bookViews>
    <workbookView xWindow="-120" yWindow="-120" windowWidth="29040" windowHeight="15840" tabRatio="735" xr2:uid="{00000000-000D-0000-FFFF-FFFF00000000}"/>
  </bookViews>
  <sheets>
    <sheet name="FA" sheetId="1" r:id="rId1"/>
    <sheet name="Engagements" sheetId="23" r:id="rId2"/>
    <sheet name="Niv FA" sheetId="24" r:id="rId3"/>
    <sheet name="Niv PL" sheetId="25" r:id="rId4"/>
    <sheet name="Cat. d'âge" sheetId="26" r:id="rId5"/>
    <sheet name="Records_FA_F" sheetId="29" r:id="rId6"/>
    <sheet name="Records FA_H" sheetId="30" r:id="rId7"/>
    <sheet name="Records PL_F" sheetId="31" r:id="rId8"/>
    <sheet name="Records PL_H" sheetId="28" r:id="rId9"/>
    <sheet name="Aide" sheetId="27" r:id="rId10"/>
  </sheets>
  <functionGroups builtInGroupCount="19"/>
  <definedNames>
    <definedName name="_xlnm._FilterDatabase" localSheetId="0" hidden="1">FA!$A$7:$AA$24</definedName>
    <definedName name="Competition" localSheetId="6">#REF!</definedName>
    <definedName name="Competition" localSheetId="7">#REF!</definedName>
    <definedName name="Competition" localSheetId="5">#REF!</definedName>
    <definedName name="Competition">#REF!</definedName>
    <definedName name="Compétition" localSheetId="4">#REF!</definedName>
    <definedName name="Compétition" localSheetId="1">#REF!</definedName>
    <definedName name="Compétition" localSheetId="2">#REF!</definedName>
    <definedName name="Compétition" localSheetId="3">#REF!</definedName>
    <definedName name="Compétition">#REF!</definedName>
    <definedName name="listeRégions">'Cat. d''âge'!$M$4:$M$25</definedName>
    <definedName name="Sexe" localSheetId="1">#REF!</definedName>
    <definedName name="Sexe" localSheetId="6">#REF!</definedName>
    <definedName name="Sexe" localSheetId="7">#REF!</definedName>
    <definedName name="Sexe" localSheetId="5">#REF!</definedName>
    <definedName name="Sexe">#REF!</definedName>
  </definedNames>
  <calcPr calcId="181029" calcMode="manual"/>
</workbook>
</file>

<file path=xl/calcChain.xml><?xml version="1.0" encoding="utf-8"?>
<calcChain xmlns="http://schemas.openxmlformats.org/spreadsheetml/2006/main">
  <c r="E57" i="25" l="1"/>
  <c r="E56" i="25"/>
  <c r="E55" i="25"/>
  <c r="E54" i="25"/>
  <c r="E53" i="25"/>
  <c r="E52" i="25"/>
  <c r="E51" i="25"/>
  <c r="E50" i="25"/>
  <c r="N57" i="25"/>
  <c r="N56" i="25"/>
  <c r="N55" i="25"/>
  <c r="N54" i="25"/>
  <c r="N53" i="25"/>
  <c r="N52" i="25"/>
  <c r="N51" i="25"/>
  <c r="N50" i="25"/>
  <c r="N46" i="25"/>
  <c r="N45" i="25"/>
  <c r="N44" i="25"/>
  <c r="N43" i="25"/>
  <c r="N42" i="25"/>
  <c r="N41" i="25"/>
  <c r="N40" i="25"/>
  <c r="N39" i="25"/>
  <c r="E46" i="25"/>
  <c r="E45" i="25"/>
  <c r="E44" i="25"/>
  <c r="E43" i="25"/>
  <c r="E42" i="25"/>
  <c r="E41" i="25"/>
  <c r="E40" i="25"/>
  <c r="E39" i="25"/>
  <c r="N35" i="25"/>
  <c r="N34" i="25"/>
  <c r="N33" i="25"/>
  <c r="N32" i="25"/>
  <c r="N31" i="25"/>
  <c r="N30" i="25"/>
  <c r="N29" i="25"/>
  <c r="N28" i="25"/>
  <c r="E35" i="25"/>
  <c r="E34" i="25"/>
  <c r="E33" i="25"/>
  <c r="E32" i="25"/>
  <c r="E31" i="25"/>
  <c r="E30" i="25"/>
  <c r="E29" i="25"/>
  <c r="E28" i="25"/>
  <c r="N24" i="25"/>
  <c r="N23" i="25"/>
  <c r="N22" i="25"/>
  <c r="N21" i="25"/>
  <c r="N20" i="25"/>
  <c r="N19" i="25"/>
  <c r="N18" i="25"/>
  <c r="N17" i="25"/>
  <c r="E24" i="25"/>
  <c r="E23" i="25"/>
  <c r="E22" i="25"/>
  <c r="E21" i="25"/>
  <c r="E20" i="25"/>
  <c r="E19" i="25"/>
  <c r="E18" i="25"/>
  <c r="E17" i="25"/>
  <c r="J19" i="1"/>
  <c r="J10" i="1"/>
  <c r="J16" i="1"/>
  <c r="J15" i="1"/>
  <c r="J17" i="1"/>
  <c r="J11" i="1"/>
  <c r="J14" i="1"/>
  <c r="J20" i="1"/>
  <c r="J23" i="1"/>
  <c r="J18" i="1"/>
  <c r="J21" i="1"/>
  <c r="J22" i="1"/>
  <c r="J24" i="1"/>
  <c r="J12" i="1"/>
  <c r="J13" i="1"/>
  <c r="J9" i="1"/>
  <c r="X11" i="1"/>
  <c r="U16" i="1"/>
  <c r="E23" i="1"/>
  <c r="E16" i="1"/>
  <c r="U22" i="1"/>
  <c r="E11" i="1"/>
  <c r="V17" i="1"/>
  <c r="AC18" i="1"/>
  <c r="X19" i="1"/>
  <c r="V12" i="1"/>
  <c r="AC20" i="1"/>
  <c r="E15" i="1"/>
  <c r="U13" i="1"/>
  <c r="AC13" i="1"/>
  <c r="E10" i="1"/>
  <c r="X13" i="1"/>
  <c r="U9" i="1"/>
  <c r="X14" i="1"/>
  <c r="AC16" i="1"/>
  <c r="U20" i="1"/>
  <c r="E14" i="1"/>
  <c r="X24" i="1"/>
  <c r="X20" i="1"/>
  <c r="U24" i="1"/>
  <c r="V14" i="1"/>
  <c r="AC9" i="1"/>
  <c r="X12" i="1"/>
  <c r="AC12" i="1"/>
  <c r="AC10" i="1"/>
  <c r="U12" i="1"/>
  <c r="AC19" i="1"/>
  <c r="V18" i="1"/>
  <c r="U10" i="1"/>
  <c r="X21" i="1"/>
  <c r="E18" i="1"/>
  <c r="V24" i="1"/>
  <c r="U23" i="1"/>
  <c r="AC17" i="1"/>
  <c r="E20" i="1"/>
  <c r="X17" i="1"/>
  <c r="V9" i="1"/>
  <c r="U14" i="1"/>
  <c r="X18" i="1"/>
  <c r="V21" i="1"/>
  <c r="V20" i="1"/>
  <c r="X23" i="1"/>
  <c r="U18" i="1"/>
  <c r="AC23" i="1"/>
  <c r="E17" i="1"/>
  <c r="AC24" i="1"/>
  <c r="X15" i="1"/>
  <c r="V15" i="1"/>
  <c r="U17" i="1"/>
  <c r="U21" i="1"/>
  <c r="X9" i="1"/>
  <c r="AC21" i="1"/>
  <c r="V22" i="1"/>
  <c r="V13" i="1"/>
  <c r="E9" i="1"/>
  <c r="U15" i="1"/>
  <c r="E19" i="1"/>
  <c r="E22" i="1"/>
  <c r="U11" i="1"/>
  <c r="V10" i="1"/>
  <c r="V11" i="1"/>
  <c r="AC15" i="1"/>
  <c r="X16" i="1"/>
  <c r="E13" i="1"/>
  <c r="E24" i="1"/>
  <c r="E21" i="1"/>
  <c r="V23" i="1"/>
  <c r="AC11" i="1"/>
  <c r="AC14" i="1"/>
  <c r="X22" i="1"/>
  <c r="AC22" i="1"/>
  <c r="X10" i="1"/>
  <c r="U19" i="1"/>
  <c r="E12" i="1"/>
  <c r="V19" i="1"/>
  <c r="V16" i="1"/>
  <c r="B65" i="23" l="1"/>
  <c r="B57" i="23"/>
  <c r="Y21" i="1"/>
  <c r="Y14" i="1"/>
  <c r="AD18" i="1"/>
  <c r="Z22" i="1"/>
  <c r="Y12" i="1"/>
  <c r="I23" i="1"/>
  <c r="I19" i="1"/>
  <c r="Y23" i="1"/>
  <c r="Z20" i="1"/>
  <c r="AD22" i="1"/>
  <c r="I20" i="1"/>
  <c r="Y20" i="1"/>
  <c r="Z18" i="1"/>
  <c r="Z11" i="1"/>
  <c r="Z10" i="1"/>
  <c r="AD20" i="1"/>
  <c r="Z21" i="1"/>
  <c r="I9" i="1"/>
  <c r="Y15" i="1"/>
  <c r="AD21" i="1"/>
  <c r="I11" i="1"/>
  <c r="Y9" i="1"/>
  <c r="I15" i="1"/>
  <c r="Z9" i="1"/>
  <c r="Y19" i="1"/>
  <c r="Y13" i="1"/>
  <c r="AD15" i="1"/>
  <c r="Z14" i="1"/>
  <c r="Z23" i="1"/>
  <c r="AD14" i="1"/>
  <c r="I18" i="1"/>
  <c r="I10" i="1"/>
  <c r="Y17" i="1"/>
  <c r="AD12" i="1"/>
  <c r="I24" i="1"/>
  <c r="Y24" i="1"/>
  <c r="AD9" i="1"/>
  <c r="Z19" i="1"/>
  <c r="AD17" i="1"/>
  <c r="AD13" i="1"/>
  <c r="Y11" i="1"/>
  <c r="I14" i="1"/>
  <c r="AD23" i="1"/>
  <c r="AD16" i="1"/>
  <c r="AD10" i="1"/>
  <c r="Z24" i="1"/>
  <c r="Z17" i="1"/>
  <c r="Z15" i="1"/>
  <c r="I22" i="1"/>
  <c r="Y18" i="1"/>
  <c r="Z16" i="1"/>
  <c r="I12" i="1"/>
  <c r="I13" i="1"/>
  <c r="Y22" i="1"/>
  <c r="I16" i="1"/>
  <c r="Z13" i="1"/>
  <c r="Y16" i="1"/>
  <c r="Y10" i="1"/>
  <c r="Z12" i="1"/>
  <c r="AD19" i="1"/>
  <c r="AD24" i="1"/>
  <c r="I17" i="1"/>
  <c r="I21" i="1"/>
  <c r="AD11" i="1"/>
  <c r="J65" i="23" l="1"/>
  <c r="F106" i="23"/>
  <c r="J105" i="23"/>
  <c r="J113" i="23"/>
  <c r="J121" i="23"/>
  <c r="F122" i="23" l="1"/>
  <c r="B122" i="23"/>
  <c r="D122" i="23"/>
  <c r="G121" i="23"/>
  <c r="B121" i="23"/>
  <c r="F114" i="23"/>
  <c r="G113" i="23"/>
  <c r="B113" i="23"/>
  <c r="G105" i="23"/>
  <c r="B105" i="23"/>
  <c r="B106" i="23"/>
  <c r="D106" i="23"/>
  <c r="B114" i="23"/>
  <c r="D114" i="23"/>
  <c r="G123" i="23"/>
  <c r="B123" i="23"/>
  <c r="G115" i="23" l="1"/>
  <c r="B115" i="23"/>
  <c r="G107" i="23"/>
  <c r="B107" i="23"/>
  <c r="G67" i="23"/>
  <c r="B67" i="23"/>
  <c r="B35" i="23"/>
  <c r="B11" i="23"/>
  <c r="G3" i="23"/>
  <c r="B3" i="23"/>
  <c r="B2" i="23"/>
  <c r="D2" i="23"/>
  <c r="F2" i="23"/>
  <c r="D10" i="23"/>
  <c r="J1" i="23" l="1"/>
  <c r="G1" i="23"/>
  <c r="B1" i="23"/>
  <c r="G99" i="23"/>
  <c r="B99" i="23"/>
  <c r="B98" i="23"/>
  <c r="D98" i="23"/>
  <c r="F98" i="23"/>
  <c r="J97" i="23"/>
  <c r="G97" i="23"/>
  <c r="B97" i="23"/>
  <c r="G91" i="23"/>
  <c r="B91" i="23"/>
  <c r="B90" i="23"/>
  <c r="D90" i="23"/>
  <c r="F90" i="23"/>
  <c r="J89" i="23"/>
  <c r="G89" i="23"/>
  <c r="B89" i="23"/>
  <c r="G83" i="23"/>
  <c r="B83" i="23"/>
  <c r="B82" i="23"/>
  <c r="D82" i="23"/>
  <c r="F82" i="23"/>
  <c r="J81" i="23"/>
  <c r="G81" i="23"/>
  <c r="B81" i="23"/>
  <c r="G75" i="23"/>
  <c r="B75" i="23"/>
  <c r="B74" i="23"/>
  <c r="D74" i="23"/>
  <c r="F74" i="23"/>
  <c r="J73" i="23"/>
  <c r="G73" i="23"/>
  <c r="B73" i="23"/>
  <c r="B66" i="23"/>
  <c r="D66" i="23"/>
  <c r="F66" i="23"/>
  <c r="G65" i="23"/>
  <c r="B59" i="23"/>
  <c r="G59" i="23"/>
  <c r="D58" i="23"/>
  <c r="F58" i="23"/>
  <c r="J57" i="23"/>
  <c r="G57" i="23"/>
  <c r="B58" i="23"/>
  <c r="B51" i="23"/>
  <c r="G51" i="23"/>
  <c r="F50" i="23"/>
  <c r="D50" i="23"/>
  <c r="B50" i="23"/>
  <c r="J49" i="23"/>
  <c r="G49" i="23"/>
  <c r="B49" i="23"/>
  <c r="B43" i="23"/>
  <c r="G43" i="23"/>
  <c r="F42" i="23"/>
  <c r="D42" i="23"/>
  <c r="B42" i="23"/>
  <c r="J41" i="23"/>
  <c r="G41" i="23"/>
  <c r="B41" i="23"/>
  <c r="G35" i="23"/>
  <c r="F34" i="23"/>
  <c r="D34" i="23"/>
  <c r="J33" i="23"/>
  <c r="G33" i="23"/>
  <c r="B34" i="23"/>
  <c r="B33" i="23"/>
  <c r="B27" i="23"/>
  <c r="G27" i="23"/>
  <c r="F26" i="23"/>
  <c r="D26" i="23"/>
  <c r="B26" i="23"/>
  <c r="J25" i="23"/>
  <c r="G25" i="23"/>
  <c r="B25" i="23"/>
  <c r="H114" i="23" l="1"/>
  <c r="H74" i="23" l="1"/>
  <c r="H82" i="23"/>
  <c r="F18" i="23"/>
  <c r="D18" i="23"/>
  <c r="B18" i="23"/>
  <c r="F10" i="23"/>
  <c r="B10" i="23"/>
  <c r="B19" i="23"/>
  <c r="J17" i="23"/>
  <c r="G19" i="23"/>
  <c r="G17" i="23"/>
  <c r="B17" i="23"/>
  <c r="J9" i="23"/>
  <c r="G11" i="23"/>
  <c r="B9" i="23"/>
  <c r="G9" i="23"/>
  <c r="H122" i="23" l="1"/>
  <c r="H106" i="23"/>
  <c r="H98" i="23"/>
  <c r="H50" i="23"/>
  <c r="H34" i="23"/>
  <c r="H66" i="23"/>
  <c r="H90" i="23"/>
  <c r="H58" i="23"/>
  <c r="H42" i="23"/>
  <c r="H26" i="23"/>
  <c r="H2" i="23"/>
  <c r="H10" i="23" l="1"/>
  <c r="H18" i="23"/>
</calcChain>
</file>

<file path=xl/sharedStrings.xml><?xml version="1.0" encoding="utf-8"?>
<sst xmlns="http://schemas.openxmlformats.org/spreadsheetml/2006/main" count="2566" uniqueCount="489">
  <si>
    <t>NOM</t>
  </si>
  <si>
    <t>Prénom</t>
  </si>
  <si>
    <t>CLUB</t>
  </si>
  <si>
    <t>OBSERVATIONS et DIVERS :</t>
  </si>
  <si>
    <t>Secrétaire</t>
  </si>
  <si>
    <t>1er Assesseur</t>
  </si>
  <si>
    <t>Chef de Plateau</t>
  </si>
  <si>
    <t>NOM :</t>
  </si>
  <si>
    <t>Prénom :</t>
  </si>
  <si>
    <t>N° tirage au sort :</t>
  </si>
  <si>
    <t xml:space="preserve">Sexe :    </t>
  </si>
  <si>
    <t xml:space="preserve">Date de naissance : </t>
  </si>
  <si>
    <t>Catégorie d'âge :</t>
  </si>
  <si>
    <t xml:space="preserve"> Visa de l'athlète :</t>
  </si>
  <si>
    <t>Club :</t>
  </si>
  <si>
    <t>N° licence :</t>
  </si>
  <si>
    <t>Poids de corps :</t>
  </si>
  <si>
    <t>Barre de départ</t>
  </si>
  <si>
    <t>1er essai</t>
  </si>
  <si>
    <t>2° essai</t>
  </si>
  <si>
    <t>3° essai</t>
  </si>
  <si>
    <t>Modif 3° essai</t>
  </si>
  <si>
    <t>Modif  3° essai</t>
  </si>
  <si>
    <t>Résultat</t>
  </si>
  <si>
    <t>Dév. Couché</t>
  </si>
  <si>
    <t>Cat.    Poids</t>
  </si>
  <si>
    <t>2eme Assesseur</t>
  </si>
  <si>
    <t xml:space="preserve">Clas. </t>
  </si>
  <si>
    <t>DC</t>
  </si>
  <si>
    <t>Poids   de      corps</t>
  </si>
  <si>
    <t>Année de naissance</t>
  </si>
  <si>
    <t>INTERDIT</t>
  </si>
  <si>
    <t>SQUAT</t>
  </si>
  <si>
    <t>S de T</t>
  </si>
  <si>
    <t>S      F-M</t>
  </si>
  <si>
    <t>Lot.</t>
  </si>
  <si>
    <t>Date nais.</t>
  </si>
  <si>
    <t>Licen.</t>
  </si>
  <si>
    <t>Squat</t>
  </si>
  <si>
    <t>Hauteur support :</t>
  </si>
  <si>
    <t xml:space="preserve"> Cales :   O      N
 Hauteur :</t>
  </si>
  <si>
    <t xml:space="preserve">  Soulevé de Terre</t>
  </si>
  <si>
    <t>BRETAGNE</t>
  </si>
  <si>
    <t>GUADELOUPE</t>
  </si>
  <si>
    <t>GUYANE</t>
  </si>
  <si>
    <t>ILE DE France</t>
  </si>
  <si>
    <t>MARTINIQUE</t>
  </si>
  <si>
    <t>MAYOTTE</t>
  </si>
  <si>
    <t>NOUVELLE CALEDONIE</t>
  </si>
  <si>
    <t>POLYNESIE FRANCAISE</t>
  </si>
  <si>
    <t>ST PIERRE ET MIQUELON</t>
  </si>
  <si>
    <t>Catég.</t>
  </si>
  <si>
    <t>84 +</t>
  </si>
  <si>
    <t>120 +</t>
  </si>
  <si>
    <t>Discipline</t>
  </si>
  <si>
    <t>Compétition</t>
  </si>
  <si>
    <t>AUVERGNE   RHONE-ALPES</t>
  </si>
  <si>
    <t>BOURGOGNE  FRANCHE-COMTE</t>
  </si>
  <si>
    <t>CORSE</t>
  </si>
  <si>
    <t>La REUNION</t>
  </si>
  <si>
    <t>NORMANDIE</t>
  </si>
  <si>
    <t>PROVENCE ALPES COTE D AZUR</t>
  </si>
  <si>
    <t>Catégories d'âge Homme/Femme FA</t>
  </si>
  <si>
    <t>Catégories d'âge Homme/Femme PL</t>
  </si>
  <si>
    <t xml:space="preserve">choix discipline </t>
  </si>
  <si>
    <t>Ligue</t>
  </si>
  <si>
    <t>CENTRE-VAL DE LOIRE</t>
  </si>
  <si>
    <t>GRAND EST</t>
  </si>
  <si>
    <t xml:space="preserve">HAUTS DE France </t>
  </si>
  <si>
    <t>NOUVELLE AQUITAINE</t>
  </si>
  <si>
    <t>OCCITANIE</t>
  </si>
  <si>
    <t>les performances inferieures au niveau régionale sont classées par défaut comme niveau départemental</t>
  </si>
  <si>
    <t>LIGUES</t>
  </si>
  <si>
    <t>Europe</t>
  </si>
  <si>
    <t>Monde</t>
  </si>
  <si>
    <t>JR</t>
  </si>
  <si>
    <t>SNR</t>
  </si>
  <si>
    <t>M1</t>
  </si>
  <si>
    <t>M2</t>
  </si>
  <si>
    <t>M3</t>
  </si>
  <si>
    <t>M4</t>
  </si>
  <si>
    <t>SJR</t>
  </si>
  <si>
    <t>JR masculin</t>
  </si>
  <si>
    <t>SNR masculin</t>
  </si>
  <si>
    <t>JR féminine</t>
  </si>
  <si>
    <t>SNR féminine</t>
  </si>
  <si>
    <t>M1 féminine</t>
  </si>
  <si>
    <t>M2 féminine</t>
  </si>
  <si>
    <t>M3 féminine</t>
  </si>
  <si>
    <t>M4 féminine</t>
  </si>
  <si>
    <t>M4 masculin</t>
  </si>
  <si>
    <t>M3 masculin</t>
  </si>
  <si>
    <t>M2 masculin</t>
  </si>
  <si>
    <t>M1 masculin</t>
  </si>
  <si>
    <t>Indice</t>
  </si>
  <si>
    <t>SJR masculin</t>
  </si>
  <si>
    <t>SJR féminine</t>
  </si>
  <si>
    <t>TOTAL  réalisé</t>
  </si>
  <si>
    <t>TOTAL  annoncé</t>
  </si>
  <si>
    <t>Niveau Open</t>
  </si>
  <si>
    <t>Points Réalisés</t>
  </si>
  <si>
    <t>R3</t>
  </si>
  <si>
    <t>R2</t>
  </si>
  <si>
    <t>R1</t>
  </si>
  <si>
    <t>LIGERIENNE</t>
  </si>
  <si>
    <t>Cat.    d'âge A+1</t>
  </si>
  <si>
    <t>Niveau               Cat. Âge A+1</t>
  </si>
  <si>
    <t>Cat.    d'âge     A</t>
  </si>
  <si>
    <t>Niveau Cat. Âge     A</t>
  </si>
  <si>
    <t>Catégorie</t>
  </si>
  <si>
    <t>hauteur SQUAT</t>
  </si>
  <si>
    <t>Position Rack</t>
  </si>
  <si>
    <t>hauteur DC</t>
  </si>
  <si>
    <t>hauteur sécurité</t>
  </si>
  <si>
    <t xml:space="preserve">Hauteur de cales </t>
  </si>
  <si>
    <t>N2</t>
  </si>
  <si>
    <t>N1</t>
  </si>
  <si>
    <t xml:space="preserve"> N2</t>
  </si>
  <si>
    <t>Symptome</t>
  </si>
  <si>
    <t>Action corrective</t>
  </si>
  <si>
    <t>Feuille fédération ne se génére pas</t>
  </si>
  <si>
    <t>Ordre barre ne fonctionne pas</t>
  </si>
  <si>
    <t>Message d'erreur</t>
  </si>
  <si>
    <t>Selection non valide</t>
  </si>
  <si>
    <t>Question ?</t>
  </si>
  <si>
    <t>Avez-vous bien séléctionné une valeur de barre et non pas le chiffre (1,2 ou 3) en dessous du mouvement</t>
  </si>
  <si>
    <t>La catégorie de poids ne s'affiche pas</t>
  </si>
  <si>
    <t>Vide</t>
  </si>
  <si>
    <t>N'avez-vous pas vidé le contenu de la cellule. Toutes les cases grises contiennent une formule</t>
  </si>
  <si>
    <t>La formule est bien là mais rien ne se passe.</t>
  </si>
  <si>
    <t>Faite "Entrée" sur votre clavier ou mieux aller dans l'onglet "Formule" de Excel puis options de calcul + automatique</t>
  </si>
  <si>
    <t>La catégorie d'age ne s'affiche pas</t>
  </si>
  <si>
    <t>pour toutes les cellules grisées</t>
  </si>
  <si>
    <t>Cette action ne marche pas sur de multiples sélections</t>
  </si>
  <si>
    <t>Avez-vous bien gardé 21 lignes (par exemple 15 athlètes + 6 lignes) avant d'avoir les lignes des arbitres</t>
  </si>
  <si>
    <t>Défusionner les cellules que vous avez fusionnées</t>
  </si>
  <si>
    <t>Recopier une cellule de categorie de poids avec la formule encore présente</t>
  </si>
  <si>
    <t>Recopier une cellule de categorie d'age avec la formule encore présente</t>
  </si>
  <si>
    <t>Recopier une cellule identique avec la formule encore présente</t>
  </si>
  <si>
    <t>N'auriez vous pas fusionner des cellules ? Par exemple, le titre de la compétition ?</t>
  </si>
  <si>
    <t>Cellules fusionnées ..</t>
  </si>
  <si>
    <t>Avez-vous bien gardé 21 lignes (par exemple 15 athlètes + 6 lignes vides)</t>
  </si>
  <si>
    <t>Les colonnes avec formules sont protégées</t>
  </si>
  <si>
    <t>Pas possible d'ajouter ou detruire une ligne</t>
  </si>
  <si>
    <t>pas de sélection possible</t>
  </si>
  <si>
    <t>La protection est voulue pour éviter les ecrassements lors des copier/coller des cellules avec formules</t>
  </si>
  <si>
    <t>La protection est voulue pour éviter la destruction puis l'ajout de lignes pas au format</t>
  </si>
  <si>
    <t>Vous pouvez deproteger la feuille FA en allant dans Fichier/Informations/Oter la protection sur FA (pas de mot de passe)</t>
  </si>
  <si>
    <t>Enlever un athlète</t>
  </si>
  <si>
    <t>pas possible de detruire la ligne</t>
  </si>
  <si>
    <t xml:space="preserve">Comment enlever un athlète ? </t>
  </si>
  <si>
    <t>2 options: enlever la protection et détruire la ligne ou sélectionner les cellules et avec le menu contextuel "Effacer le contenu"</t>
  </si>
  <si>
    <t>Enlever la protection: Fichier + Informations + voir ci-dessous</t>
  </si>
  <si>
    <t>84+</t>
  </si>
  <si>
    <t>A la date du 19 décembre 2023</t>
  </si>
  <si>
    <t>FA</t>
  </si>
  <si>
    <t>Records FA Femmes</t>
  </si>
  <si>
    <t>Développé-Couché</t>
  </si>
  <si>
    <t>Soulevé de Terre</t>
  </si>
  <si>
    <t>TOTAL</t>
  </si>
  <si>
    <t>Athlète</t>
  </si>
  <si>
    <t>Poids</t>
  </si>
  <si>
    <t>Date</t>
  </si>
  <si>
    <t>-43kg</t>
  </si>
  <si>
    <t>Subjunior</t>
  </si>
  <si>
    <t>Bastien Eloise</t>
  </si>
  <si>
    <t>Junior</t>
  </si>
  <si>
    <t>Chevalier Tania</t>
  </si>
  <si>
    <t>2022 st germain en lay(fr)</t>
  </si>
  <si>
    <t>-47kg</t>
  </si>
  <si>
    <t>Durand Andrea</t>
  </si>
  <si>
    <t>Chapon Tiffany</t>
  </si>
  <si>
    <t>2022 Sun city (sa)</t>
  </si>
  <si>
    <t>2022 Sun City (sa)</t>
  </si>
  <si>
    <t>2022 Albi (Fr)</t>
  </si>
  <si>
    <t>Open</t>
  </si>
  <si>
    <t>Master1</t>
  </si>
  <si>
    <t>Legard Stephanie</t>
  </si>
  <si>
    <t>2022 Aulnat (Fr)</t>
  </si>
  <si>
    <t>Master2</t>
  </si>
  <si>
    <t>Feraud Nathalie</t>
  </si>
  <si>
    <t>Master3</t>
  </si>
  <si>
    <t>Dutrillaux Marie Claude</t>
  </si>
  <si>
    <t>Master4</t>
  </si>
  <si>
    <t>-52kg</t>
  </si>
  <si>
    <t>Giraud Coline</t>
  </si>
  <si>
    <t>2021 Port la Nouvelle(fr)</t>
  </si>
  <si>
    <t>2021 Vasteras (Sw)</t>
  </si>
  <si>
    <t>2022 Birmingham (UK)</t>
  </si>
  <si>
    <t>Allabert Noemie</t>
  </si>
  <si>
    <t>Huet Alison</t>
  </si>
  <si>
    <t>Rico Shizuka</t>
  </si>
  <si>
    <t>Bouvard Marianne</t>
  </si>
  <si>
    <t>2020 Albi (Fr)</t>
  </si>
  <si>
    <t>-57kg</t>
  </si>
  <si>
    <t>Huchet Mathilde</t>
  </si>
  <si>
    <t>Soulier Lisa</t>
  </si>
  <si>
    <t>Jacob Jade</t>
  </si>
  <si>
    <t>2022 Istanbul (Tu)</t>
  </si>
  <si>
    <t>2022 Skierniewice (Pol)</t>
  </si>
  <si>
    <t>Anthouard Melodie</t>
  </si>
  <si>
    <t>Fankou Judicaelle</t>
  </si>
  <si>
    <t>2022 beuzeville (F)</t>
  </si>
  <si>
    <t>Carion Stephanie</t>
  </si>
  <si>
    <t>Fankou Judicael</t>
  </si>
  <si>
    <t>Pracella Marie-Christine</t>
  </si>
  <si>
    <t>Guennec Edith</t>
  </si>
  <si>
    <t>Cabos Marie France</t>
  </si>
  <si>
    <t>Grouet Lydie</t>
  </si>
  <si>
    <t>2022 Beuzeville (F)</t>
  </si>
  <si>
    <t>-63kg</t>
  </si>
  <si>
    <t>Eugenie Samantha</t>
  </si>
  <si>
    <t>2019 Kaunas (lit)</t>
  </si>
  <si>
    <t>Picazo Elodie</t>
  </si>
  <si>
    <t>Delos Ludivine</t>
  </si>
  <si>
    <t>Bavoil Prescillia</t>
  </si>
  <si>
    <t>2021 Halmstad (sw)</t>
  </si>
  <si>
    <t>Iliev Isabelle</t>
  </si>
  <si>
    <t>Bernard Anne</t>
  </si>
  <si>
    <t>Girot Noemie</t>
  </si>
  <si>
    <t>Blondan Daisy</t>
  </si>
  <si>
    <t>-69kg</t>
  </si>
  <si>
    <t>Wilkinson Lucie</t>
  </si>
  <si>
    <t>Bouchoux Andorina</t>
  </si>
  <si>
    <t>2022 Aulnat (fr)</t>
  </si>
  <si>
    <t>Peyraud Clara</t>
  </si>
  <si>
    <t>Bourmaud Nathalie</t>
  </si>
  <si>
    <t>Leccese Florence</t>
  </si>
  <si>
    <t>Descours Veronique</t>
  </si>
  <si>
    <t>Descourt Veronique</t>
  </si>
  <si>
    <t>2021 Pilsen (rc)</t>
  </si>
  <si>
    <t>-76kg</t>
  </si>
  <si>
    <t>Le Pierres Emilie</t>
  </si>
  <si>
    <t>Mautalen Laura</t>
  </si>
  <si>
    <t>Pellier Sylvie</t>
  </si>
  <si>
    <t>De Lucas Xaviere</t>
  </si>
  <si>
    <t>Collinot France</t>
  </si>
  <si>
    <t>-84kg</t>
  </si>
  <si>
    <t>Sauvanet Lea</t>
  </si>
  <si>
    <t>Millecamps Kelly</t>
  </si>
  <si>
    <t>Concolato Margot</t>
  </si>
  <si>
    <t>Franch Guerra Julie</t>
  </si>
  <si>
    <t>Berva Angeline</t>
  </si>
  <si>
    <t>De Lucca Xaviere</t>
  </si>
  <si>
    <t>2021 Beuzeville (fr)</t>
  </si>
  <si>
    <t>+84kg</t>
  </si>
  <si>
    <t>Letaief Rachelle</t>
  </si>
  <si>
    <t>Messaoui Camellia</t>
  </si>
  <si>
    <t>Dezier Camille</t>
  </si>
  <si>
    <t>Mierger Amelie</t>
  </si>
  <si>
    <t>Auclair Veronique</t>
  </si>
  <si>
    <t>-53kg</t>
  </si>
  <si>
    <t>Pellerin Valentin</t>
  </si>
  <si>
    <t>Jacob Joshua</t>
  </si>
  <si>
    <t>Castel Maxime</t>
  </si>
  <si>
    <t>2022 st germain en lay (Fr)</t>
  </si>
  <si>
    <t>-59kg</t>
  </si>
  <si>
    <t>Gautier Loiz</t>
  </si>
  <si>
    <t>Hauet Arthur</t>
  </si>
  <si>
    <t>Lefebvre Paul</t>
  </si>
  <si>
    <t>Acher Thomas</t>
  </si>
  <si>
    <t>Garcia Antoine</t>
  </si>
  <si>
    <t>Lited Etienne</t>
  </si>
  <si>
    <t>La Philippe</t>
  </si>
  <si>
    <t>Pannier Gael</t>
  </si>
  <si>
    <t>Legard Patrick</t>
  </si>
  <si>
    <t>Marigot Gilles</t>
  </si>
  <si>
    <t>Bonnefoy Jean</t>
  </si>
  <si>
    <t>2022 Beuzeville 'F)</t>
  </si>
  <si>
    <t>Corneillet Jacques</t>
  </si>
  <si>
    <t>Colombet Pierre</t>
  </si>
  <si>
    <t>-66kg</t>
  </si>
  <si>
    <t>Turki Souleiman</t>
  </si>
  <si>
    <t>Benbachir Khaled</t>
  </si>
  <si>
    <t>2019 Helsingborg (Sw)</t>
  </si>
  <si>
    <t>Duvernet Matheo</t>
  </si>
  <si>
    <t>Vigouroux Brandon</t>
  </si>
  <si>
    <t>Puget Yann</t>
  </si>
  <si>
    <t>Tarinidis Panagiotis</t>
  </si>
  <si>
    <t>El Belghitti Hassan</t>
  </si>
  <si>
    <t>Bernard Michael</t>
  </si>
  <si>
    <t>Jouveaux Franck</t>
  </si>
  <si>
    <t>Auberval Georges</t>
  </si>
  <si>
    <t>Cuvilier Alain</t>
  </si>
  <si>
    <t>Mahauda Gontran</t>
  </si>
  <si>
    <t>Henry Marc</t>
  </si>
  <si>
    <t>-74kg</t>
  </si>
  <si>
    <t>Baali Nahel</t>
  </si>
  <si>
    <t>Bonetto Andrea</t>
  </si>
  <si>
    <t>Poyet Bastien</t>
  </si>
  <si>
    <t>Gaignet Guillaume</t>
  </si>
  <si>
    <t>Rembauville Paul</t>
  </si>
  <si>
    <t>Poinson Adrien</t>
  </si>
  <si>
    <t>Halbot Vincent</t>
  </si>
  <si>
    <t>Baali Kader</t>
  </si>
  <si>
    <t>Voisin Christian</t>
  </si>
  <si>
    <t>Forget Bernard</t>
  </si>
  <si>
    <t>Feraud Guylhem</t>
  </si>
  <si>
    <t>Couturier Claude</t>
  </si>
  <si>
    <t>-83kg</t>
  </si>
  <si>
    <t>Baiden Richmond</t>
  </si>
  <si>
    <t>Baiden Richmont</t>
  </si>
  <si>
    <t>Costarigot Anthony</t>
  </si>
  <si>
    <t>Jean Marie Flore Guillaume</t>
  </si>
  <si>
    <t>Parisot Guillaume</t>
  </si>
  <si>
    <t xml:space="preserve"> Sahari Medhi</t>
  </si>
  <si>
    <t>2022 Albi (fr)</t>
  </si>
  <si>
    <t>Renaud Pierre</t>
  </si>
  <si>
    <t>Bouchou Yanis</t>
  </si>
  <si>
    <t>Geffry André</t>
  </si>
  <si>
    <t>Lenglet Florent</t>
  </si>
  <si>
    <t>Decouleur David</t>
  </si>
  <si>
    <t>Gandner Frederic</t>
  </si>
  <si>
    <t>Bertin Fabrice</t>
  </si>
  <si>
    <t>Marthe José</t>
  </si>
  <si>
    <t>Naty Michel</t>
  </si>
  <si>
    <t>Richard Jacques</t>
  </si>
  <si>
    <t>Gautier Regis</t>
  </si>
  <si>
    <t>Vinot Jean Francois</t>
  </si>
  <si>
    <t>Munsch Alain</t>
  </si>
  <si>
    <t>-93kg</t>
  </si>
  <si>
    <t>Bernoussi Triolet Malik</t>
  </si>
  <si>
    <t>Begue Gabriel</t>
  </si>
  <si>
    <t>Ben Hadj Ali</t>
  </si>
  <si>
    <t>Hupfer Sebastien</t>
  </si>
  <si>
    <t>Idier Julien</t>
  </si>
  <si>
    <t>Madienguela Privat</t>
  </si>
  <si>
    <t>Boyer Roland</t>
  </si>
  <si>
    <t>Bougamdouz Gemel</t>
  </si>
  <si>
    <t>Mauchosse Eric</t>
  </si>
  <si>
    <t>Courtehoux Pierre</t>
  </si>
  <si>
    <t>Buchs Christian</t>
  </si>
  <si>
    <t>Mandou Eugene</t>
  </si>
  <si>
    <t>-105kg</t>
  </si>
  <si>
    <t>Clement Corentin</t>
  </si>
  <si>
    <t>Metayer Philippe</t>
  </si>
  <si>
    <t>Bouteiller Marc</t>
  </si>
  <si>
    <t>Carette David</t>
  </si>
  <si>
    <t>Metayer Philppe</t>
  </si>
  <si>
    <t>Sicoli Adalgisio</t>
  </si>
  <si>
    <t>Merlier Pascal</t>
  </si>
  <si>
    <t>Maes Patrick</t>
  </si>
  <si>
    <t>Di Vuolo Guy</t>
  </si>
  <si>
    <t>-120kg</t>
  </si>
  <si>
    <t>Peyraud Nicolas</t>
  </si>
  <si>
    <t>Broutin Cedric</t>
  </si>
  <si>
    <t>Bonnay Dimitri</t>
  </si>
  <si>
    <t>Loubidika Regis</t>
  </si>
  <si>
    <t>Hocquard Richard</t>
  </si>
  <si>
    <t>Minelle Jean Yves</t>
  </si>
  <si>
    <t>Billon Thierry</t>
  </si>
  <si>
    <t>Lamoureux Francois</t>
  </si>
  <si>
    <t>Belmas Jean Paul</t>
  </si>
  <si>
    <t>+120kg</t>
  </si>
  <si>
    <t>Bogey Malone</t>
  </si>
  <si>
    <t>2019 Barcelone (esp)</t>
  </si>
  <si>
    <t>Masse Romuald</t>
  </si>
  <si>
    <t>Odin Stanley</t>
  </si>
  <si>
    <t>Bonin Eric</t>
  </si>
  <si>
    <t>Chard Tony</t>
  </si>
  <si>
    <t>Sanchez Jean Francois</t>
  </si>
  <si>
    <t>Tinebra Frederic</t>
  </si>
  <si>
    <t>Angin Benoit</t>
  </si>
  <si>
    <t>2019 Potchefstroom(za)</t>
  </si>
  <si>
    <t>Nivault Marcel</t>
  </si>
  <si>
    <t>2018 Potchefstroom(za)</t>
  </si>
  <si>
    <t>2022 Viborg (Den)</t>
  </si>
  <si>
    <t>2022 Viborg (den)</t>
  </si>
  <si>
    <t>2020 Pontoise (Fr)</t>
  </si>
  <si>
    <t>2022 La Gorgue (F)</t>
  </si>
  <si>
    <t>Cuvelier Alain</t>
  </si>
  <si>
    <t>Chenais Jean Jacques</t>
  </si>
  <si>
    <t>El Belghiti Hassan</t>
  </si>
  <si>
    <t>Ruffault Michel</t>
  </si>
  <si>
    <t>Dufour Gerard</t>
  </si>
  <si>
    <t>2021 Blanquefort (F)</t>
  </si>
  <si>
    <t>Picot Geraud Romain</t>
  </si>
  <si>
    <t>Carlot Dominique</t>
  </si>
  <si>
    <t>Carole Benoit</t>
  </si>
  <si>
    <t>Grenier Allan</t>
  </si>
  <si>
    <t>Pinheiro Gilles</t>
  </si>
  <si>
    <t>Vaillant Cyril</t>
  </si>
  <si>
    <t>Pires Daniel</t>
  </si>
  <si>
    <t>Bonnel Olivier</t>
  </si>
  <si>
    <t>Boughamdouz Gemel</t>
  </si>
  <si>
    <t>Mokadem Boucif</t>
  </si>
  <si>
    <t>Belkesir Sofiane</t>
  </si>
  <si>
    <t>Buttigieg Frederic</t>
  </si>
  <si>
    <t>Sicoli Adalgiso</t>
  </si>
  <si>
    <t>Leroy Fabrice</t>
  </si>
  <si>
    <t>Mercier Charly</t>
  </si>
  <si>
    <t>2023 Bordeaux (Fr)</t>
  </si>
  <si>
    <t>Delpieu Christian</t>
  </si>
  <si>
    <t>2023 Druskininkai (Lit)</t>
  </si>
  <si>
    <t>2021 Stavanger (No)</t>
  </si>
  <si>
    <t>Riviere Patrick</t>
  </si>
  <si>
    <t>Mlodziakoski David</t>
  </si>
  <si>
    <t>Bar Eric</t>
  </si>
  <si>
    <t>Sanou Abdoulaye</t>
  </si>
  <si>
    <t>Masarotti Ugo</t>
  </si>
  <si>
    <t>Lejeune Aurelien</t>
  </si>
  <si>
    <t xml:space="preserve">Masaroti Ugo </t>
  </si>
  <si>
    <t>Paulet Yann</t>
  </si>
  <si>
    <t>Le Panse Benedicte</t>
  </si>
  <si>
    <t>2022 Birmingham (US)</t>
  </si>
  <si>
    <t>2021 Stavanger (  No)</t>
  </si>
  <si>
    <t>Martin Vanessa</t>
  </si>
  <si>
    <t>Malicot Maryse</t>
  </si>
  <si>
    <t>Jallais Marie Therese</t>
  </si>
  <si>
    <t>Sune Caroline</t>
  </si>
  <si>
    <t>2021 Pilsen (c r)</t>
  </si>
  <si>
    <t>2022 Pilsen (Rc)</t>
  </si>
  <si>
    <t>2021 Pilsen (Rc)</t>
  </si>
  <si>
    <t>Mingot Sylvie</t>
  </si>
  <si>
    <t>Le Blevenec Nina</t>
  </si>
  <si>
    <t>Sun Caroline</t>
  </si>
  <si>
    <t>Baali Isabelle</t>
  </si>
  <si>
    <t>Calves Françoise</t>
  </si>
  <si>
    <t>2023 Pilsen (Cz)</t>
  </si>
  <si>
    <t>Chavanis Virginie</t>
  </si>
  <si>
    <t>Maubert Cecile</t>
  </si>
  <si>
    <t>Benlabili Sylvie</t>
  </si>
  <si>
    <t>Records PL Femmes</t>
  </si>
  <si>
    <t>Records FA Hommes</t>
  </si>
  <si>
    <t>Records PL Hommes</t>
  </si>
  <si>
    <t>NIVEAUX FORCE ATHLETIQUE</t>
  </si>
  <si>
    <t>NIVEAUX POWER LIFTING</t>
  </si>
  <si>
    <t>Catégories d'âge valables à partir du 01/01/2025 et jusqu'au 31/12/2025</t>
  </si>
  <si>
    <t>Catégories d'âge valables à partir du 01/01/2026 et jusqu'au 31/12/2027</t>
  </si>
  <si>
    <t>Feuille de Match 2025</t>
  </si>
  <si>
    <t>Lieu</t>
  </si>
  <si>
    <t>Publié le 10 Juin 2025 -  4 Avril 2025 Subjuniors et Juniors et le 10 Juin 2025 Masters mis à jour</t>
  </si>
  <si>
    <t>A utiliser à partir du 10 Juin 2025</t>
  </si>
  <si>
    <t>Open de Loos - Ne pas fusionner les cellules</t>
  </si>
  <si>
    <t>PASTEUR</t>
  </si>
  <si>
    <t>Eliott</t>
  </si>
  <si>
    <t>THIEMARD SALOMON</t>
  </si>
  <si>
    <t>Kylian</t>
  </si>
  <si>
    <t>RICHARD</t>
  </si>
  <si>
    <t>Antoine</t>
  </si>
  <si>
    <t>GEOFFROY</t>
  </si>
  <si>
    <t>Ethan</t>
  </si>
  <si>
    <t>PICHOT</t>
  </si>
  <si>
    <t>Solenne</t>
  </si>
  <si>
    <t>SANCHEZ</t>
  </si>
  <si>
    <t>Chloé</t>
  </si>
  <si>
    <t>DEMORD</t>
  </si>
  <si>
    <t>Laurene</t>
  </si>
  <si>
    <t>DAMONGEOT</t>
  </si>
  <si>
    <t>Auriane</t>
  </si>
  <si>
    <t>DEMOULIN</t>
  </si>
  <si>
    <t>Alexandre</t>
  </si>
  <si>
    <t>MEUNIER</t>
  </si>
  <si>
    <t>Hugo</t>
  </si>
  <si>
    <t>LEVILLAIN</t>
  </si>
  <si>
    <t>Theo</t>
  </si>
  <si>
    <t>OLIVIER</t>
  </si>
  <si>
    <t>Ismaël</t>
  </si>
  <si>
    <t>BRICAGE</t>
  </si>
  <si>
    <t>Gabriel</t>
  </si>
  <si>
    <t>BERAUD</t>
  </si>
  <si>
    <t>Adrien</t>
  </si>
  <si>
    <t>GÉRARD</t>
  </si>
  <si>
    <t>Mathieu</t>
  </si>
  <si>
    <t>TRIOLET</t>
  </si>
  <si>
    <t>Maxence</t>
  </si>
  <si>
    <t>059193</t>
  </si>
  <si>
    <t>L02 - LIGUE DE FORCE BOURGOGNE-FRANCHE-COMTÉ</t>
  </si>
  <si>
    <t>M</t>
  </si>
  <si>
    <t>059647</t>
  </si>
  <si>
    <t>060036</t>
  </si>
  <si>
    <t>0420 - STADE AUXERROIS</t>
  </si>
  <si>
    <t>050085</t>
  </si>
  <si>
    <t>F</t>
  </si>
  <si>
    <t>058529</t>
  </si>
  <si>
    <t>057644</t>
  </si>
  <si>
    <t>0587 - TEMPLE GYM</t>
  </si>
  <si>
    <t>054442</t>
  </si>
  <si>
    <t>050087</t>
  </si>
  <si>
    <t>052352</t>
  </si>
  <si>
    <t>056336</t>
  </si>
  <si>
    <t>061190</t>
  </si>
  <si>
    <t>0294 - HC AVALLON MFAC</t>
  </si>
  <si>
    <t>056922</t>
  </si>
  <si>
    <t>0024 - AS FOURCHAMBAULT</t>
  </si>
  <si>
    <t>058156</t>
  </si>
  <si>
    <t>053236</t>
  </si>
  <si>
    <t>050986</t>
  </si>
  <si>
    <t>0460 - USO DIJON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</si>
</sst>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0.0000"/>
    <numFmt numFmtId="166" formatCode="dd/mm/yy"/>
    <numFmt numFmtId="167" formatCode="yyyy"/>
    <numFmt numFmtId="168" formatCode="dd/mm/yy;@"/>
    <numFmt numFmtId="169" formatCode="&quot;€&quot;#,##0.00_);[Red]\(&quot;€&quot;#,##0.00\)"/>
    <numFmt numFmtId="170" formatCode=";;;"/>
  </numFmts>
  <fonts count="48" x14ac:knownFonts="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i/>
      <sz val="26"/>
      <name val="Arial"/>
      <family val="2"/>
    </font>
    <font>
      <sz val="18"/>
      <name val="Arial"/>
      <family val="2"/>
    </font>
    <font>
      <b/>
      <sz val="14"/>
      <name val="Arial"/>
      <family val="2"/>
    </font>
    <font>
      <sz val="24"/>
      <name val="Arial"/>
      <family val="2"/>
    </font>
    <font>
      <sz val="12"/>
      <name val="Arial"/>
      <family val="2"/>
    </font>
    <font>
      <sz val="20"/>
      <name val="Arial"/>
      <family val="2"/>
    </font>
    <font>
      <sz val="11"/>
      <name val="Arial"/>
      <family val="2"/>
    </font>
    <font>
      <sz val="10"/>
      <name val="Times New Roman"/>
      <family val="1"/>
    </font>
    <font>
      <b/>
      <sz val="11"/>
      <name val="Arial"/>
      <family val="2"/>
    </font>
    <font>
      <b/>
      <i/>
      <sz val="11"/>
      <name val="Arial"/>
      <family val="2"/>
    </font>
    <font>
      <b/>
      <sz val="11"/>
      <color indexed="8"/>
      <name val="Arial"/>
      <family val="2"/>
    </font>
    <font>
      <b/>
      <sz val="20"/>
      <name val="Arial"/>
      <family val="2"/>
    </font>
    <font>
      <b/>
      <sz val="14"/>
      <color indexed="8"/>
      <name val="Arial"/>
      <family val="2"/>
    </font>
    <font>
      <b/>
      <sz val="10"/>
      <color indexed="8"/>
      <name val="Arial"/>
      <family val="2"/>
    </font>
    <font>
      <b/>
      <sz val="28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b/>
      <sz val="11"/>
      <name val="Times New Roman"/>
      <family val="1"/>
    </font>
    <font>
      <b/>
      <sz val="11"/>
      <color indexed="10"/>
      <name val="Times New Roman"/>
      <family val="1"/>
    </font>
    <font>
      <sz val="10"/>
      <color indexed="8"/>
      <name val="Times New Roman"/>
      <family val="1"/>
    </font>
    <font>
      <b/>
      <sz val="10"/>
      <name val="Times New Roman"/>
      <family val="1"/>
    </font>
    <font>
      <sz val="10"/>
      <color indexed="56"/>
      <name val="Times New Roman"/>
      <family val="1"/>
    </font>
    <font>
      <b/>
      <sz val="16"/>
      <name val="Arial"/>
      <family val="2"/>
    </font>
    <font>
      <b/>
      <sz val="22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b/>
      <sz val="14"/>
      <color rgb="FF0000FF"/>
      <name val="Arial"/>
      <family val="2"/>
    </font>
    <font>
      <b/>
      <sz val="10"/>
      <color rgb="FF000000"/>
      <name val="Arial"/>
      <family val="2"/>
    </font>
    <font>
      <b/>
      <sz val="14"/>
      <color rgb="FFFF0000"/>
      <name val="Arial"/>
      <family val="2"/>
    </font>
    <font>
      <b/>
      <sz val="14"/>
      <color rgb="FFFF0000"/>
      <name val="Times New Roman"/>
      <family val="1"/>
    </font>
    <font>
      <sz val="10"/>
      <color theme="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b/>
      <i/>
      <sz val="12"/>
      <name val="Arial"/>
      <family val="2"/>
    </font>
    <font>
      <i/>
      <sz val="10"/>
      <name val="Arial"/>
      <family val="2"/>
    </font>
    <font>
      <sz val="10"/>
      <color rgb="FF444444"/>
      <name val="Arial"/>
      <family val="2"/>
    </font>
    <font>
      <sz val="8"/>
      <color rgb="FF000000"/>
      <name val="Arial"/>
      <family val="2"/>
    </font>
    <font>
      <sz val="11"/>
      <color rgb="FF000000"/>
      <name val="Arial"/>
      <family val="2"/>
    </font>
    <font>
      <b/>
      <sz val="10"/>
      <color rgb="FFFF0000"/>
      <name val="Arial"/>
      <family val="2"/>
    </font>
    <font>
      <b/>
      <strike/>
      <sz val="11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11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1"/>
        <bgColor indexed="11"/>
      </patternFill>
    </fill>
    <fill>
      <patternFill patternType="solid">
        <fgColor indexed="31"/>
        <bgColor indexed="31"/>
      </patternFill>
    </fill>
  </fills>
  <borders count="116">
    <border>
      <left/>
      <right/>
      <top/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/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dotted">
        <color indexed="64"/>
      </right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double">
        <color indexed="64"/>
      </bottom>
      <diagonal/>
    </border>
    <border>
      <left style="dotted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dotted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dotted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ashed">
        <color indexed="64"/>
      </right>
      <top style="thin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dotted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3" fillId="0" borderId="0"/>
    <xf numFmtId="0" fontId="1" fillId="0" borderId="0"/>
    <xf numFmtId="0" fontId="1" fillId="0" borderId="0"/>
    <xf numFmtId="0" fontId="31" fillId="0" borderId="0"/>
    <xf numFmtId="164" fontId="40" fillId="0" borderId="0" applyFont="0" applyFill="0" applyBorder="0" applyAlignment="0" applyProtection="0"/>
  </cellStyleXfs>
  <cellXfs count="56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166" fontId="0" fillId="0" borderId="0" xfId="0" applyNumberFormat="1" applyAlignment="1">
      <alignment horizontal="center"/>
    </xf>
    <xf numFmtId="165" fontId="0" fillId="0" borderId="0" xfId="0" applyNumberFormat="1"/>
    <xf numFmtId="0" fontId="7" fillId="0" borderId="0" xfId="0" applyFont="1" applyAlignment="1">
      <alignment vertical="center"/>
    </xf>
    <xf numFmtId="16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vertical="center"/>
    </xf>
    <xf numFmtId="14" fontId="0" fillId="0" borderId="0" xfId="0" applyNumberFormat="1" applyAlignment="1">
      <alignment vertical="center"/>
    </xf>
    <xf numFmtId="2" fontId="0" fillId="0" borderId="0" xfId="0" applyNumberFormat="1" applyAlignment="1">
      <alignment vertical="center"/>
    </xf>
    <xf numFmtId="2" fontId="3" fillId="0" borderId="0" xfId="0" applyNumberFormat="1" applyFont="1" applyAlignment="1">
      <alignment vertical="center"/>
    </xf>
    <xf numFmtId="165" fontId="7" fillId="0" borderId="0" xfId="0" applyNumberFormat="1" applyFont="1" applyAlignment="1">
      <alignment vertical="center"/>
    </xf>
    <xf numFmtId="165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/>
    </xf>
    <xf numFmtId="2" fontId="3" fillId="0" borderId="0" xfId="0" applyNumberFormat="1" applyFont="1"/>
    <xf numFmtId="0" fontId="6" fillId="0" borderId="0" xfId="0" applyFont="1" applyAlignment="1">
      <alignment vertical="center"/>
    </xf>
    <xf numFmtId="0" fontId="6" fillId="0" borderId="0" xfId="0" applyFont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15" fillId="6" borderId="1" xfId="0" applyFont="1" applyFill="1" applyBorder="1" applyAlignment="1">
      <alignment horizontal="centerContinuous" vertical="center"/>
    </xf>
    <xf numFmtId="0" fontId="15" fillId="6" borderId="2" xfId="0" applyFont="1" applyFill="1" applyBorder="1" applyAlignment="1">
      <alignment horizontal="center" vertical="center"/>
    </xf>
    <xf numFmtId="0" fontId="15" fillId="6" borderId="3" xfId="0" applyFont="1" applyFill="1" applyBorder="1" applyAlignment="1">
      <alignment horizontal="center" vertical="center"/>
    </xf>
    <xf numFmtId="0" fontId="15" fillId="6" borderId="4" xfId="0" applyFont="1" applyFill="1" applyBorder="1" applyAlignment="1">
      <alignment horizontal="left" vertical="center"/>
    </xf>
    <xf numFmtId="0" fontId="9" fillId="0" borderId="6" xfId="3" applyFont="1" applyBorder="1" applyAlignment="1">
      <alignment vertical="center"/>
    </xf>
    <xf numFmtId="0" fontId="11" fillId="0" borderId="6" xfId="3" applyFont="1" applyBorder="1" applyAlignment="1">
      <alignment vertical="center"/>
    </xf>
    <xf numFmtId="0" fontId="1" fillId="0" borderId="0" xfId="3" applyAlignment="1">
      <alignment vertical="center"/>
    </xf>
    <xf numFmtId="0" fontId="11" fillId="0" borderId="7" xfId="3" applyFont="1" applyBorder="1" applyAlignment="1">
      <alignment vertical="center"/>
    </xf>
    <xf numFmtId="0" fontId="1" fillId="0" borderId="8" xfId="3" applyBorder="1" applyAlignment="1">
      <alignment vertical="center"/>
    </xf>
    <xf numFmtId="0" fontId="1" fillId="0" borderId="9" xfId="3" applyBorder="1" applyAlignment="1">
      <alignment vertical="center"/>
    </xf>
    <xf numFmtId="0" fontId="1" fillId="0" borderId="10" xfId="3" applyBorder="1" applyAlignment="1">
      <alignment vertical="center"/>
    </xf>
    <xf numFmtId="0" fontId="2" fillId="0" borderId="11" xfId="3" applyFont="1" applyBorder="1" applyAlignment="1">
      <alignment horizontal="center" vertical="center"/>
    </xf>
    <xf numFmtId="0" fontId="1" fillId="0" borderId="0" xfId="3"/>
    <xf numFmtId="0" fontId="2" fillId="0" borderId="12" xfId="3" applyFont="1" applyBorder="1" applyAlignment="1">
      <alignment horizontal="center" vertical="center" wrapText="1"/>
    </xf>
    <xf numFmtId="0" fontId="9" fillId="0" borderId="13" xfId="3" applyFont="1" applyBorder="1" applyAlignment="1">
      <alignment vertical="center"/>
    </xf>
    <xf numFmtId="1" fontId="18" fillId="0" borderId="14" xfId="3" applyNumberFormat="1" applyFont="1" applyBorder="1" applyAlignment="1">
      <alignment horizontal="center" vertical="center"/>
    </xf>
    <xf numFmtId="0" fontId="15" fillId="6" borderId="4" xfId="0" applyFont="1" applyFill="1" applyBorder="1" applyAlignment="1">
      <alignment horizontal="center" vertical="center"/>
    </xf>
    <xf numFmtId="0" fontId="15" fillId="6" borderId="4" xfId="0" applyFont="1" applyFill="1" applyBorder="1" applyAlignment="1">
      <alignment horizontal="centerContinuous" vertical="center"/>
    </xf>
    <xf numFmtId="0" fontId="15" fillId="6" borderId="15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22" fillId="7" borderId="0" xfId="3" applyFont="1" applyFill="1" applyAlignment="1">
      <alignment horizontal="center"/>
    </xf>
    <xf numFmtId="0" fontId="24" fillId="2" borderId="16" xfId="2" applyFont="1" applyFill="1" applyBorder="1" applyAlignment="1">
      <alignment horizontal="center" vertical="center"/>
    </xf>
    <xf numFmtId="0" fontId="25" fillId="0" borderId="17" xfId="2" applyFont="1" applyBorder="1" applyAlignment="1">
      <alignment horizontal="center" vertical="center"/>
    </xf>
    <xf numFmtId="0" fontId="25" fillId="0" borderId="18" xfId="2" applyFont="1" applyBorder="1" applyAlignment="1">
      <alignment horizontal="center" vertical="center"/>
    </xf>
    <xf numFmtId="0" fontId="26" fillId="0" borderId="0" xfId="3" applyFont="1"/>
    <xf numFmtId="0" fontId="27" fillId="0" borderId="0" xfId="2" applyFont="1" applyAlignment="1">
      <alignment horizontal="center"/>
    </xf>
    <xf numFmtId="0" fontId="24" fillId="0" borderId="3" xfId="2" applyFont="1" applyBorder="1" applyAlignment="1">
      <alignment horizontal="center" vertical="center"/>
    </xf>
    <xf numFmtId="0" fontId="24" fillId="0" borderId="20" xfId="2" applyFont="1" applyBorder="1" applyAlignment="1">
      <alignment horizontal="center" vertical="center"/>
    </xf>
    <xf numFmtId="0" fontId="24" fillId="0" borderId="21" xfId="2" applyFont="1" applyBorder="1" applyAlignment="1">
      <alignment horizontal="center" vertical="center"/>
    </xf>
    <xf numFmtId="0" fontId="24" fillId="0" borderId="22" xfId="2" applyFont="1" applyBorder="1" applyAlignment="1">
      <alignment horizontal="center" vertical="center"/>
    </xf>
    <xf numFmtId="0" fontId="24" fillId="2" borderId="23" xfId="2" applyFont="1" applyFill="1" applyBorder="1" applyAlignment="1">
      <alignment horizontal="center" vertical="center"/>
    </xf>
    <xf numFmtId="0" fontId="24" fillId="2" borderId="24" xfId="2" applyFont="1" applyFill="1" applyBorder="1" applyAlignment="1">
      <alignment horizontal="center" vertical="center"/>
    </xf>
    <xf numFmtId="0" fontId="24" fillId="0" borderId="26" xfId="3" applyFont="1" applyBorder="1" applyAlignment="1">
      <alignment horizontal="center" vertical="center"/>
    </xf>
    <xf numFmtId="0" fontId="24" fillId="0" borderId="3" xfId="3" applyFont="1" applyBorder="1" applyAlignment="1">
      <alignment horizontal="center" vertical="center"/>
    </xf>
    <xf numFmtId="0" fontId="24" fillId="0" borderId="21" xfId="3" applyFont="1" applyBorder="1" applyAlignment="1">
      <alignment horizontal="center" vertical="center"/>
    </xf>
    <xf numFmtId="0" fontId="14" fillId="0" borderId="0" xfId="2" applyFont="1" applyAlignment="1">
      <alignment horizontal="left"/>
    </xf>
    <xf numFmtId="0" fontId="14" fillId="0" borderId="0" xfId="2" applyFont="1" applyAlignment="1">
      <alignment horizontal="center"/>
    </xf>
    <xf numFmtId="0" fontId="14" fillId="0" borderId="0" xfId="3" applyFont="1" applyAlignment="1">
      <alignment horizontal="center"/>
    </xf>
    <xf numFmtId="0" fontId="28" fillId="0" borderId="0" xfId="2" applyFont="1" applyAlignment="1">
      <alignment horizontal="left"/>
    </xf>
    <xf numFmtId="0" fontId="14" fillId="0" borderId="0" xfId="2" applyFont="1" applyAlignment="1">
      <alignment horizontal="left" indent="1"/>
    </xf>
    <xf numFmtId="0" fontId="1" fillId="0" borderId="0" xfId="2"/>
    <xf numFmtId="0" fontId="22" fillId="7" borderId="0" xfId="2" applyFont="1" applyFill="1" applyAlignment="1">
      <alignment horizontal="center"/>
    </xf>
    <xf numFmtId="0" fontId="26" fillId="0" borderId="0" xfId="2" applyFont="1"/>
    <xf numFmtId="0" fontId="33" fillId="0" borderId="0" xfId="2" applyFont="1"/>
    <xf numFmtId="0" fontId="8" fillId="0" borderId="0" xfId="2" applyFont="1" applyAlignment="1">
      <alignment vertical="center"/>
    </xf>
    <xf numFmtId="1" fontId="11" fillId="0" borderId="0" xfId="2" applyNumberFormat="1" applyFont="1" applyAlignment="1">
      <alignment horizontal="center"/>
    </xf>
    <xf numFmtId="0" fontId="11" fillId="0" borderId="0" xfId="2" applyFont="1"/>
    <xf numFmtId="0" fontId="9" fillId="0" borderId="28" xfId="2" applyFont="1" applyBorder="1" applyAlignment="1">
      <alignment horizontal="center" vertical="center" wrapText="1"/>
    </xf>
    <xf numFmtId="1" fontId="2" fillId="0" borderId="3" xfId="2" applyNumberFormat="1" applyFont="1" applyBorder="1" applyAlignment="1">
      <alignment horizontal="center" vertical="center" wrapText="1"/>
    </xf>
    <xf numFmtId="0" fontId="2" fillId="0" borderId="3" xfId="2" applyFont="1" applyBorder="1" applyAlignment="1">
      <alignment horizontal="centerContinuous" vertical="center" wrapText="1"/>
    </xf>
    <xf numFmtId="0" fontId="2" fillId="0" borderId="0" xfId="2" applyFont="1" applyAlignment="1">
      <alignment vertical="center" wrapText="1"/>
    </xf>
    <xf numFmtId="0" fontId="1" fillId="0" borderId="0" xfId="2" applyAlignment="1">
      <alignment vertical="center" wrapText="1"/>
    </xf>
    <xf numFmtId="14" fontId="1" fillId="0" borderId="0" xfId="2" applyNumberFormat="1" applyAlignment="1">
      <alignment vertical="center" wrapText="1"/>
    </xf>
    <xf numFmtId="167" fontId="11" fillId="0" borderId="3" xfId="2" applyNumberFormat="1" applyFont="1" applyBorder="1" applyAlignment="1">
      <alignment horizontal="center"/>
    </xf>
    <xf numFmtId="0" fontId="11" fillId="0" borderId="3" xfId="2" applyFont="1" applyBorder="1" applyAlignment="1">
      <alignment horizontal="center"/>
    </xf>
    <xf numFmtId="14" fontId="1" fillId="0" borderId="0" xfId="2" applyNumberFormat="1"/>
    <xf numFmtId="0" fontId="15" fillId="0" borderId="4" xfId="3" applyFont="1" applyBorder="1" applyAlignment="1">
      <alignment vertical="center" wrapText="1"/>
    </xf>
    <xf numFmtId="0" fontId="2" fillId="0" borderId="4" xfId="3" applyFont="1" applyBorder="1" applyAlignment="1">
      <alignment vertical="center" wrapText="1"/>
    </xf>
    <xf numFmtId="0" fontId="2" fillId="0" borderId="15" xfId="3" applyFont="1" applyBorder="1" applyAlignment="1">
      <alignment vertical="center"/>
    </xf>
    <xf numFmtId="0" fontId="2" fillId="0" borderId="29" xfId="3" applyFont="1" applyBorder="1" applyAlignment="1">
      <alignment vertical="center"/>
    </xf>
    <xf numFmtId="0" fontId="10" fillId="0" borderId="30" xfId="0" applyFont="1" applyBorder="1" applyAlignment="1">
      <alignment horizontal="center" vertical="center"/>
    </xf>
    <xf numFmtId="168" fontId="12" fillId="0" borderId="30" xfId="3" applyNumberFormat="1" applyFont="1" applyBorder="1" applyAlignment="1">
      <alignment horizontal="center" vertical="center"/>
    </xf>
    <xf numFmtId="0" fontId="2" fillId="0" borderId="31" xfId="3" applyFont="1" applyBorder="1" applyAlignment="1">
      <alignment vertical="center"/>
    </xf>
    <xf numFmtId="0" fontId="1" fillId="0" borderId="28" xfId="0" applyFont="1" applyBorder="1" applyAlignment="1">
      <alignment vertical="center" wrapText="1"/>
    </xf>
    <xf numFmtId="0" fontId="1" fillId="0" borderId="32" xfId="0" applyFont="1" applyBorder="1" applyAlignment="1">
      <alignment wrapText="1"/>
    </xf>
    <xf numFmtId="0" fontId="0" fillId="0" borderId="32" xfId="0" applyBorder="1" applyAlignment="1">
      <alignment wrapText="1"/>
    </xf>
    <xf numFmtId="0" fontId="0" fillId="0" borderId="33" xfId="0" applyBorder="1" applyAlignment="1">
      <alignment wrapText="1"/>
    </xf>
    <xf numFmtId="0" fontId="1" fillId="0" borderId="3" xfId="3" applyBorder="1"/>
    <xf numFmtId="0" fontId="6" fillId="0" borderId="34" xfId="3" applyFont="1" applyBorder="1"/>
    <xf numFmtId="0" fontId="11" fillId="0" borderId="36" xfId="3" applyFont="1" applyBorder="1" applyAlignment="1">
      <alignment vertical="center"/>
    </xf>
    <xf numFmtId="0" fontId="2" fillId="0" borderId="35" xfId="3" applyFont="1" applyBorder="1" applyAlignment="1">
      <alignment vertical="center"/>
    </xf>
    <xf numFmtId="0" fontId="1" fillId="0" borderId="39" xfId="3" applyBorder="1" applyAlignment="1">
      <alignment vertical="center"/>
    </xf>
    <xf numFmtId="0" fontId="13" fillId="3" borderId="40" xfId="3" applyFont="1" applyFill="1" applyBorder="1" applyAlignment="1">
      <alignment horizontal="center" vertical="center"/>
    </xf>
    <xf numFmtId="0" fontId="13" fillId="3" borderId="14" xfId="3" applyFont="1" applyFill="1" applyBorder="1" applyAlignment="1">
      <alignment horizontal="center" vertical="center"/>
    </xf>
    <xf numFmtId="0" fontId="1" fillId="0" borderId="21" xfId="3" applyBorder="1"/>
    <xf numFmtId="0" fontId="6" fillId="0" borderId="41" xfId="3" applyFont="1" applyBorder="1"/>
    <xf numFmtId="0" fontId="1" fillId="0" borderId="42" xfId="2" applyBorder="1" applyAlignment="1">
      <alignment wrapText="1"/>
    </xf>
    <xf numFmtId="0" fontId="1" fillId="0" borderId="0" xfId="2" applyAlignment="1">
      <alignment wrapText="1"/>
    </xf>
    <xf numFmtId="0" fontId="11" fillId="0" borderId="3" xfId="0" applyFont="1" applyBorder="1" applyAlignment="1">
      <alignment horizontal="center"/>
    </xf>
    <xf numFmtId="0" fontId="22" fillId="7" borderId="42" xfId="0" applyFont="1" applyFill="1" applyBorder="1"/>
    <xf numFmtId="0" fontId="25" fillId="0" borderId="16" xfId="2" applyFont="1" applyBorder="1" applyAlignment="1">
      <alignment horizontal="center" vertical="center"/>
    </xf>
    <xf numFmtId="0" fontId="22" fillId="7" borderId="44" xfId="3" applyFont="1" applyFill="1" applyBorder="1" applyAlignment="1">
      <alignment horizontal="center"/>
    </xf>
    <xf numFmtId="0" fontId="22" fillId="7" borderId="42" xfId="3" applyFont="1" applyFill="1" applyBorder="1" applyAlignment="1">
      <alignment horizontal="center"/>
    </xf>
    <xf numFmtId="0" fontId="25" fillId="0" borderId="18" xfId="2" applyFont="1" applyBorder="1" applyAlignment="1">
      <alignment horizontal="center"/>
    </xf>
    <xf numFmtId="0" fontId="13" fillId="0" borderId="0" xfId="3" applyFont="1"/>
    <xf numFmtId="0" fontId="24" fillId="2" borderId="45" xfId="2" applyFont="1" applyFill="1" applyBorder="1" applyAlignment="1">
      <alignment horizontal="center"/>
    </xf>
    <xf numFmtId="0" fontId="13" fillId="0" borderId="0" xfId="2" applyFont="1"/>
    <xf numFmtId="0" fontId="23" fillId="0" borderId="0" xfId="2" applyFont="1"/>
    <xf numFmtId="0" fontId="25" fillId="0" borderId="0" xfId="2" applyFont="1" applyAlignment="1">
      <alignment horizontal="center"/>
    </xf>
    <xf numFmtId="0" fontId="24" fillId="0" borderId="0" xfId="2" applyFont="1" applyAlignment="1">
      <alignment horizontal="center"/>
    </xf>
    <xf numFmtId="0" fontId="24" fillId="0" borderId="47" xfId="3" applyFont="1" applyBorder="1" applyAlignment="1">
      <alignment horizontal="center" vertical="center"/>
    </xf>
    <xf numFmtId="0" fontId="24" fillId="0" borderId="20" xfId="3" applyFont="1" applyBorder="1" applyAlignment="1">
      <alignment horizontal="center" vertical="center"/>
    </xf>
    <xf numFmtId="0" fontId="24" fillId="0" borderId="22" xfId="3" applyFont="1" applyBorder="1" applyAlignment="1">
      <alignment horizontal="center" vertical="center"/>
    </xf>
    <xf numFmtId="0" fontId="25" fillId="0" borderId="48" xfId="2" applyFont="1" applyBorder="1" applyAlignment="1">
      <alignment horizontal="center"/>
    </xf>
    <xf numFmtId="0" fontId="23" fillId="0" borderId="0" xfId="2" applyFont="1" applyAlignment="1">
      <alignment vertical="center"/>
    </xf>
    <xf numFmtId="0" fontId="24" fillId="0" borderId="0" xfId="2" applyFont="1" applyAlignment="1">
      <alignment horizontal="center" vertical="center"/>
    </xf>
    <xf numFmtId="0" fontId="24" fillId="2" borderId="45" xfId="2" applyFont="1" applyFill="1" applyBorder="1" applyAlignment="1">
      <alignment horizontal="center" vertical="center"/>
    </xf>
    <xf numFmtId="0" fontId="25" fillId="0" borderId="46" xfId="2" applyFont="1" applyBorder="1" applyAlignment="1">
      <alignment horizontal="center" vertical="center"/>
    </xf>
    <xf numFmtId="0" fontId="25" fillId="0" borderId="48" xfId="2" applyFont="1" applyBorder="1" applyAlignment="1">
      <alignment horizontal="center" vertical="center"/>
    </xf>
    <xf numFmtId="0" fontId="23" fillId="7" borderId="0" xfId="2" applyFont="1" applyFill="1"/>
    <xf numFmtId="0" fontId="25" fillId="7" borderId="0" xfId="2" applyFont="1" applyFill="1" applyAlignment="1">
      <alignment horizontal="center"/>
    </xf>
    <xf numFmtId="0" fontId="24" fillId="7" borderId="0" xfId="2" applyFont="1" applyFill="1" applyAlignment="1">
      <alignment horizontal="center"/>
    </xf>
    <xf numFmtId="0" fontId="25" fillId="0" borderId="0" xfId="2" applyFont="1" applyAlignment="1">
      <alignment horizontal="center" vertical="center"/>
    </xf>
    <xf numFmtId="0" fontId="23" fillId="7" borderId="0" xfId="2" applyFont="1" applyFill="1" applyAlignment="1">
      <alignment vertical="center"/>
    </xf>
    <xf numFmtId="0" fontId="24" fillId="0" borderId="27" xfId="2" applyFont="1" applyBorder="1" applyAlignment="1">
      <alignment horizontal="center" vertical="center"/>
    </xf>
    <xf numFmtId="0" fontId="25" fillId="0" borderId="45" xfId="2" applyFont="1" applyBorder="1" applyAlignment="1">
      <alignment horizontal="center" vertical="center"/>
    </xf>
    <xf numFmtId="0" fontId="25" fillId="0" borderId="44" xfId="2" applyFont="1" applyBorder="1" applyAlignment="1">
      <alignment horizontal="center" vertical="center"/>
    </xf>
    <xf numFmtId="0" fontId="25" fillId="0" borderId="49" xfId="2" applyFont="1" applyBorder="1" applyAlignment="1">
      <alignment horizontal="center" vertical="center"/>
    </xf>
    <xf numFmtId="0" fontId="22" fillId="7" borderId="0" xfId="0" applyFont="1" applyFill="1"/>
    <xf numFmtId="0" fontId="24" fillId="2" borderId="29" xfId="2" applyFont="1" applyFill="1" applyBorder="1" applyAlignment="1">
      <alignment horizontal="center" vertical="center"/>
    </xf>
    <xf numFmtId="0" fontId="24" fillId="0" borderId="26" xfId="2" applyFont="1" applyBorder="1" applyAlignment="1">
      <alignment horizontal="center" vertical="center"/>
    </xf>
    <xf numFmtId="0" fontId="24" fillId="0" borderId="47" xfId="2" applyFont="1" applyBorder="1" applyAlignment="1">
      <alignment horizontal="center" vertical="center"/>
    </xf>
    <xf numFmtId="0" fontId="24" fillId="2" borderId="16" xfId="2" applyFont="1" applyFill="1" applyBorder="1" applyAlignment="1">
      <alignment horizontal="center"/>
    </xf>
    <xf numFmtId="0" fontId="24" fillId="0" borderId="47" xfId="3" applyFont="1" applyBorder="1" applyAlignment="1">
      <alignment horizontal="center"/>
    </xf>
    <xf numFmtId="0" fontId="24" fillId="0" borderId="20" xfId="3" applyFont="1" applyBorder="1" applyAlignment="1">
      <alignment horizontal="center"/>
    </xf>
    <xf numFmtId="0" fontId="24" fillId="0" borderId="22" xfId="3" applyFont="1" applyBorder="1" applyAlignment="1">
      <alignment horizontal="center"/>
    </xf>
    <xf numFmtId="0" fontId="22" fillId="7" borderId="44" xfId="2" applyFont="1" applyFill="1" applyBorder="1" applyAlignment="1">
      <alignment horizontal="center"/>
    </xf>
    <xf numFmtId="0" fontId="22" fillId="7" borderId="42" xfId="2" applyFont="1" applyFill="1" applyBorder="1" applyAlignment="1">
      <alignment horizontal="center"/>
    </xf>
    <xf numFmtId="0" fontId="6" fillId="0" borderId="5" xfId="0" applyFont="1" applyBorder="1" applyAlignment="1">
      <alignment vertical="center"/>
    </xf>
    <xf numFmtId="0" fontId="1" fillId="0" borderId="42" xfId="0" applyFont="1" applyBorder="1" applyAlignment="1">
      <alignment vertical="center"/>
    </xf>
    <xf numFmtId="166" fontId="1" fillId="0" borderId="42" xfId="0" applyNumberFormat="1" applyFont="1" applyBorder="1" applyAlignment="1">
      <alignment horizontal="center" vertical="center"/>
    </xf>
    <xf numFmtId="0" fontId="1" fillId="0" borderId="52" xfId="0" applyFont="1" applyBorder="1" applyAlignment="1" applyProtection="1">
      <alignment vertical="center"/>
      <protection locked="0"/>
    </xf>
    <xf numFmtId="0" fontId="1" fillId="0" borderId="53" xfId="0" applyFont="1" applyBorder="1" applyAlignment="1" applyProtection="1">
      <alignment vertical="center"/>
      <protection locked="0"/>
    </xf>
    <xf numFmtId="0" fontId="32" fillId="0" borderId="0" xfId="2" applyFont="1" applyAlignment="1">
      <alignment horizontal="center" vertical="center"/>
    </xf>
    <xf numFmtId="0" fontId="25" fillId="0" borderId="54" xfId="2" applyFont="1" applyBorder="1" applyAlignment="1">
      <alignment horizontal="center" vertical="center"/>
    </xf>
    <xf numFmtId="0" fontId="6" fillId="0" borderId="30" xfId="0" applyFont="1" applyBorder="1" applyAlignment="1" applyProtection="1">
      <alignment horizontal="center" vertical="center"/>
      <protection locked="0"/>
    </xf>
    <xf numFmtId="0" fontId="20" fillId="0" borderId="56" xfId="0" applyFont="1" applyBorder="1" applyAlignment="1" applyProtection="1">
      <alignment horizontal="center" vertical="center"/>
      <protection locked="0"/>
    </xf>
    <xf numFmtId="0" fontId="25" fillId="0" borderId="57" xfId="2" applyFont="1" applyBorder="1" applyAlignment="1">
      <alignment horizontal="center" vertical="center"/>
    </xf>
    <xf numFmtId="0" fontId="24" fillId="0" borderId="60" xfId="3" applyFont="1" applyBorder="1" applyAlignment="1">
      <alignment horizontal="center" vertical="center"/>
    </xf>
    <xf numFmtId="0" fontId="24" fillId="0" borderId="4" xfId="3" applyFont="1" applyBorder="1" applyAlignment="1">
      <alignment horizontal="center" vertical="center"/>
    </xf>
    <xf numFmtId="0" fontId="24" fillId="0" borderId="61" xfId="3" applyFont="1" applyBorder="1" applyAlignment="1">
      <alignment horizontal="center" vertical="center"/>
    </xf>
    <xf numFmtId="0" fontId="24" fillId="0" borderId="13" xfId="3" applyFont="1" applyBorder="1" applyAlignment="1">
      <alignment horizontal="center" vertical="center"/>
    </xf>
    <xf numFmtId="0" fontId="24" fillId="0" borderId="24" xfId="3" applyFont="1" applyBorder="1" applyAlignment="1">
      <alignment horizontal="center" vertical="center"/>
    </xf>
    <xf numFmtId="0" fontId="24" fillId="0" borderId="29" xfId="3" applyFont="1" applyBorder="1" applyAlignment="1">
      <alignment horizontal="center" vertical="center"/>
    </xf>
    <xf numFmtId="0" fontId="1" fillId="0" borderId="32" xfId="2" applyBorder="1"/>
    <xf numFmtId="1" fontId="11" fillId="0" borderId="0" xfId="0" applyNumberFormat="1" applyFont="1" applyAlignment="1">
      <alignment horizontal="center"/>
    </xf>
    <xf numFmtId="0" fontId="11" fillId="0" borderId="0" xfId="0" applyFont="1"/>
    <xf numFmtId="1" fontId="2" fillId="0" borderId="3" xfId="0" applyNumberFormat="1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Continuous" vertical="center" wrapText="1"/>
    </xf>
    <xf numFmtId="0" fontId="2" fillId="0" borderId="0" xfId="0" applyFont="1" applyAlignment="1">
      <alignment vertical="center" wrapText="1"/>
    </xf>
    <xf numFmtId="167" fontId="11" fillId="0" borderId="3" xfId="0" applyNumberFormat="1" applyFont="1" applyBorder="1" applyAlignment="1">
      <alignment horizontal="center"/>
    </xf>
    <xf numFmtId="0" fontId="6" fillId="0" borderId="3" xfId="0" applyFont="1" applyBorder="1" applyAlignment="1" applyProtection="1">
      <alignment horizontal="center" vertical="center"/>
      <protection locked="0"/>
    </xf>
    <xf numFmtId="0" fontId="2" fillId="8" borderId="36" xfId="0" applyFont="1" applyFill="1" applyBorder="1" applyAlignment="1" applyProtection="1">
      <alignment vertical="center"/>
      <protection locked="0"/>
    </xf>
    <xf numFmtId="0" fontId="2" fillId="8" borderId="39" xfId="0" applyFont="1" applyFill="1" applyBorder="1" applyAlignment="1" applyProtection="1">
      <alignment vertical="center"/>
      <protection locked="0"/>
    </xf>
    <xf numFmtId="0" fontId="24" fillId="0" borderId="4" xfId="2" applyFont="1" applyBorder="1" applyAlignment="1">
      <alignment horizontal="center" vertical="center"/>
    </xf>
    <xf numFmtId="0" fontId="24" fillId="0" borderId="61" xfId="2" applyFont="1" applyBorder="1" applyAlignment="1">
      <alignment horizontal="center" vertical="center"/>
    </xf>
    <xf numFmtId="0" fontId="24" fillId="0" borderId="75" xfId="2" applyFont="1" applyBorder="1" applyAlignment="1">
      <alignment horizontal="center" vertical="center"/>
    </xf>
    <xf numFmtId="0" fontId="24" fillId="0" borderId="53" xfId="2" applyFont="1" applyBorder="1" applyAlignment="1">
      <alignment horizontal="center" vertical="center"/>
    </xf>
    <xf numFmtId="0" fontId="24" fillId="0" borderId="76" xfId="2" applyFont="1" applyBorder="1" applyAlignment="1">
      <alignment horizontal="center" vertical="center"/>
    </xf>
    <xf numFmtId="167" fontId="6" fillId="0" borderId="42" xfId="0" applyNumberFormat="1" applyFont="1" applyBorder="1" applyAlignment="1">
      <alignment horizontal="center" vertical="center"/>
    </xf>
    <xf numFmtId="0" fontId="24" fillId="2" borderId="5" xfId="2" applyFont="1" applyFill="1" applyBorder="1" applyAlignment="1">
      <alignment horizontal="center" vertical="center"/>
    </xf>
    <xf numFmtId="0" fontId="24" fillId="2" borderId="13" xfId="2" applyFont="1" applyFill="1" applyBorder="1" applyAlignment="1">
      <alignment horizontal="center" vertical="center"/>
    </xf>
    <xf numFmtId="0" fontId="24" fillId="2" borderId="77" xfId="2" applyFont="1" applyFill="1" applyBorder="1" applyAlignment="1">
      <alignment horizontal="center" vertical="center"/>
    </xf>
    <xf numFmtId="0" fontId="24" fillId="0" borderId="60" xfId="2" applyFont="1" applyBorder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0" fontId="4" fillId="12" borderId="15" xfId="0" applyFont="1" applyFill="1" applyBorder="1" applyAlignment="1">
      <alignment horizontal="center" vertical="center"/>
    </xf>
    <xf numFmtId="0" fontId="6" fillId="12" borderId="3" xfId="0" quotePrefix="1" applyFont="1" applyFill="1" applyBorder="1" applyAlignment="1">
      <alignment horizontal="center" vertical="center"/>
    </xf>
    <xf numFmtId="0" fontId="19" fillId="12" borderId="15" xfId="0" applyFont="1" applyFill="1" applyBorder="1" applyAlignment="1">
      <alignment horizontal="center" vertical="center"/>
    </xf>
    <xf numFmtId="0" fontId="34" fillId="12" borderId="15" xfId="0" applyFont="1" applyFill="1" applyBorder="1" applyAlignment="1">
      <alignment horizontal="center" vertical="center"/>
    </xf>
    <xf numFmtId="0" fontId="6" fillId="12" borderId="2" xfId="0" applyFont="1" applyFill="1" applyBorder="1" applyAlignment="1">
      <alignment horizontal="center" vertical="center"/>
    </xf>
    <xf numFmtId="0" fontId="6" fillId="12" borderId="43" xfId="0" applyFont="1" applyFill="1" applyBorder="1" applyAlignment="1">
      <alignment horizontal="center" vertical="center"/>
    </xf>
    <xf numFmtId="0" fontId="6" fillId="12" borderId="3" xfId="0" quotePrefix="1" applyFont="1" applyFill="1" applyBorder="1" applyAlignment="1">
      <alignment horizontal="center" vertical="center" wrapText="1" shrinkToFit="1"/>
    </xf>
    <xf numFmtId="0" fontId="0" fillId="0" borderId="0" xfId="0" applyAlignment="1">
      <alignment horizontal="left" vertical="top"/>
    </xf>
    <xf numFmtId="0" fontId="1" fillId="0" borderId="0" xfId="0" applyFont="1" applyAlignment="1">
      <alignment horizontal="center" vertical="center"/>
    </xf>
    <xf numFmtId="0" fontId="1" fillId="0" borderId="3" xfId="0" applyFont="1" applyBorder="1"/>
    <xf numFmtId="0" fontId="1" fillId="0" borderId="3" xfId="0" applyFont="1" applyBorder="1" applyAlignment="1">
      <alignment horizontal="left" vertical="top"/>
    </xf>
    <xf numFmtId="0" fontId="0" fillId="0" borderId="3" xfId="0" applyBorder="1"/>
    <xf numFmtId="0" fontId="0" fillId="0" borderId="3" xfId="0" applyBorder="1" applyAlignment="1">
      <alignment horizontal="left" vertical="top"/>
    </xf>
    <xf numFmtId="0" fontId="1" fillId="0" borderId="25" xfId="0" applyFont="1" applyBorder="1"/>
    <xf numFmtId="0" fontId="1" fillId="0" borderId="20" xfId="0" applyFont="1" applyBorder="1" applyAlignment="1">
      <alignment horizontal="left" vertical="top"/>
    </xf>
    <xf numFmtId="0" fontId="1" fillId="12" borderId="25" xfId="0" applyFont="1" applyFill="1" applyBorder="1"/>
    <xf numFmtId="0" fontId="4" fillId="0" borderId="3" xfId="0" applyFont="1" applyBorder="1" applyAlignment="1" applyProtection="1">
      <alignment horizontal="center" vertical="center"/>
      <protection locked="0"/>
    </xf>
    <xf numFmtId="0" fontId="12" fillId="0" borderId="4" xfId="3" applyFont="1" applyBorder="1" applyAlignment="1">
      <alignment horizontal="center" vertical="center" shrinkToFit="1"/>
    </xf>
    <xf numFmtId="0" fontId="25" fillId="0" borderId="47" xfId="2" applyFont="1" applyBorder="1" applyAlignment="1">
      <alignment horizontal="center" vertical="center"/>
    </xf>
    <xf numFmtId="0" fontId="24" fillId="0" borderId="23" xfId="3" applyFont="1" applyBorder="1" applyAlignment="1">
      <alignment horizontal="center" vertical="center"/>
    </xf>
    <xf numFmtId="0" fontId="24" fillId="0" borderId="19" xfId="3" applyFont="1" applyBorder="1" applyAlignment="1">
      <alignment horizontal="center" vertical="center"/>
    </xf>
    <xf numFmtId="0" fontId="24" fillId="0" borderId="78" xfId="3" applyFont="1" applyBorder="1" applyAlignment="1">
      <alignment horizontal="center" vertical="center"/>
    </xf>
    <xf numFmtId="0" fontId="25" fillId="0" borderId="26" xfId="2" applyFont="1" applyBorder="1" applyAlignment="1">
      <alignment horizontal="center" vertical="center"/>
    </xf>
    <xf numFmtId="0" fontId="25" fillId="0" borderId="6" xfId="2" applyFont="1" applyBorder="1" applyAlignment="1">
      <alignment horizontal="center" vertical="center"/>
    </xf>
    <xf numFmtId="0" fontId="34" fillId="0" borderId="56" xfId="0" applyFont="1" applyBorder="1" applyAlignment="1" applyProtection="1">
      <alignment horizontal="center" vertical="center"/>
      <protection locked="0"/>
    </xf>
    <xf numFmtId="0" fontId="38" fillId="0" borderId="0" xfId="0" applyFont="1" applyAlignment="1">
      <alignment vertical="center"/>
    </xf>
    <xf numFmtId="0" fontId="1" fillId="0" borderId="0" xfId="0" applyFont="1"/>
    <xf numFmtId="0" fontId="6" fillId="0" borderId="0" xfId="0" applyFont="1"/>
    <xf numFmtId="0" fontId="6" fillId="13" borderId="45" xfId="0" applyFont="1" applyFill="1" applyBorder="1"/>
    <xf numFmtId="0" fontId="6" fillId="13" borderId="46" xfId="0" applyFont="1" applyFill="1" applyBorder="1"/>
    <xf numFmtId="0" fontId="6" fillId="13" borderId="46" xfId="0" applyFont="1" applyFill="1" applyBorder="1" applyAlignment="1">
      <alignment horizontal="left" vertical="top"/>
    </xf>
    <xf numFmtId="0" fontId="6" fillId="13" borderId="48" xfId="0" applyFont="1" applyFill="1" applyBorder="1" applyAlignment="1">
      <alignment horizontal="left" vertical="top"/>
    </xf>
    <xf numFmtId="0" fontId="1" fillId="0" borderId="3" xfId="0" applyFont="1" applyBorder="1" applyAlignment="1">
      <alignment wrapText="1"/>
    </xf>
    <xf numFmtId="0" fontId="1" fillId="0" borderId="3" xfId="0" applyFont="1" applyBorder="1" applyAlignment="1">
      <alignment horizontal="left" wrapText="1"/>
    </xf>
    <xf numFmtId="0" fontId="1" fillId="0" borderId="50" xfId="0" applyFont="1" applyBorder="1"/>
    <xf numFmtId="0" fontId="1" fillId="0" borderId="26" xfId="0" applyFont="1" applyBorder="1" applyAlignment="1">
      <alignment wrapText="1"/>
    </xf>
    <xf numFmtId="0" fontId="1" fillId="0" borderId="26" xfId="0" applyFont="1" applyBorder="1" applyAlignment="1">
      <alignment horizontal="left" wrapText="1"/>
    </xf>
    <xf numFmtId="0" fontId="1" fillId="0" borderId="47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51" xfId="0" applyFont="1" applyBorder="1"/>
    <xf numFmtId="0" fontId="1" fillId="0" borderId="21" xfId="0" applyFont="1" applyBorder="1"/>
    <xf numFmtId="0" fontId="1" fillId="0" borderId="21" xfId="0" applyFont="1" applyBorder="1" applyAlignment="1">
      <alignment horizontal="left" vertical="top"/>
    </xf>
    <xf numFmtId="0" fontId="1" fillId="0" borderId="22" xfId="0" applyFont="1" applyBorder="1" applyAlignment="1">
      <alignment horizontal="left" vertical="top"/>
    </xf>
    <xf numFmtId="0" fontId="25" fillId="0" borderId="58" xfId="2" applyFont="1" applyBorder="1" applyAlignment="1">
      <alignment horizontal="center" vertical="center"/>
    </xf>
    <xf numFmtId="0" fontId="24" fillId="14" borderId="50" xfId="2" applyFont="1" applyFill="1" applyBorder="1" applyAlignment="1">
      <alignment horizontal="center" vertical="center"/>
    </xf>
    <xf numFmtId="0" fontId="24" fillId="14" borderId="24" xfId="2" applyFont="1" applyFill="1" applyBorder="1" applyAlignment="1">
      <alignment horizontal="center" vertical="center"/>
    </xf>
    <xf numFmtId="0" fontId="24" fillId="0" borderId="50" xfId="2" applyFont="1" applyBorder="1" applyAlignment="1">
      <alignment horizontal="center" vertical="center"/>
    </xf>
    <xf numFmtId="0" fontId="24" fillId="0" borderId="25" xfId="2" applyFont="1" applyBorder="1" applyAlignment="1">
      <alignment horizontal="center" vertical="center"/>
    </xf>
    <xf numFmtId="0" fontId="24" fillId="14" borderId="29" xfId="2" applyFont="1" applyFill="1" applyBorder="1" applyAlignment="1">
      <alignment horizontal="center" vertical="center"/>
    </xf>
    <xf numFmtId="0" fontId="24" fillId="0" borderId="51" xfId="2" applyFont="1" applyBorder="1" applyAlignment="1">
      <alignment horizontal="center" vertical="center"/>
    </xf>
    <xf numFmtId="0" fontId="24" fillId="14" borderId="13" xfId="2" applyFont="1" applyFill="1" applyBorder="1" applyAlignment="1">
      <alignment horizontal="center" vertical="center"/>
    </xf>
    <xf numFmtId="0" fontId="25" fillId="0" borderId="50" xfId="2" applyFont="1" applyBorder="1" applyAlignment="1">
      <alignment horizontal="center" vertical="center"/>
    </xf>
    <xf numFmtId="0" fontId="24" fillId="14" borderId="52" xfId="2" applyFont="1" applyFill="1" applyBorder="1" applyAlignment="1">
      <alignment horizontal="center" vertical="center"/>
    </xf>
    <xf numFmtId="0" fontId="24" fillId="14" borderId="25" xfId="2" applyFont="1" applyFill="1" applyBorder="1" applyAlignment="1">
      <alignment horizontal="center" vertical="center"/>
    </xf>
    <xf numFmtId="0" fontId="24" fillId="14" borderId="51" xfId="2" applyFont="1" applyFill="1" applyBorder="1" applyAlignment="1">
      <alignment horizontal="center" vertical="center"/>
    </xf>
    <xf numFmtId="0" fontId="2" fillId="15" borderId="79" xfId="0" applyFont="1" applyFill="1" applyBorder="1" applyAlignment="1">
      <alignment horizontal="centerContinuous" vertical="center"/>
    </xf>
    <xf numFmtId="0" fontId="2" fillId="15" borderId="40" xfId="0" applyFont="1" applyFill="1" applyBorder="1" applyAlignment="1">
      <alignment horizontal="centerContinuous" vertical="center"/>
    </xf>
    <xf numFmtId="0" fontId="11" fillId="15" borderId="80" xfId="0" applyFont="1" applyFill="1" applyBorder="1" applyAlignment="1">
      <alignment horizontal="centerContinuous"/>
    </xf>
    <xf numFmtId="1" fontId="6" fillId="15" borderId="2" xfId="0" applyNumberFormat="1" applyFont="1" applyFill="1" applyBorder="1" applyAlignment="1">
      <alignment horizontal="center" vertical="center"/>
    </xf>
    <xf numFmtId="0" fontId="6" fillId="15" borderId="3" xfId="0" applyFont="1" applyFill="1" applyBorder="1" applyAlignment="1">
      <alignment horizontal="centerContinuous" wrapText="1"/>
    </xf>
    <xf numFmtId="0" fontId="6" fillId="15" borderId="43" xfId="0" applyFont="1" applyFill="1" applyBorder="1" applyAlignment="1">
      <alignment horizontal="centerContinuous" wrapText="1"/>
    </xf>
    <xf numFmtId="1" fontId="6" fillId="15" borderId="30" xfId="0" applyNumberFormat="1" applyFont="1" applyFill="1" applyBorder="1" applyAlignment="1">
      <alignment horizontal="center" vertical="center"/>
    </xf>
    <xf numFmtId="1" fontId="42" fillId="0" borderId="82" xfId="5" quotePrefix="1" applyNumberFormat="1" applyFont="1" applyBorder="1" applyAlignment="1">
      <alignment horizontal="center" vertical="center"/>
    </xf>
    <xf numFmtId="1" fontId="42" fillId="7" borderId="0" xfId="0" applyNumberFormat="1" applyFont="1" applyFill="1" applyAlignment="1">
      <alignment horizontal="center" vertical="center"/>
    </xf>
    <xf numFmtId="1" fontId="1" fillId="7" borderId="71" xfId="0" applyNumberFormat="1" applyFont="1" applyFill="1" applyBorder="1" applyAlignment="1">
      <alignment horizontal="left" vertical="top"/>
    </xf>
    <xf numFmtId="0" fontId="6" fillId="16" borderId="63" xfId="0" applyFont="1" applyFill="1" applyBorder="1" applyAlignment="1">
      <alignment horizontal="center" vertical="center" wrapText="1"/>
    </xf>
    <xf numFmtId="0" fontId="5" fillId="7" borderId="65" xfId="0" applyFont="1" applyFill="1" applyBorder="1" applyAlignment="1">
      <alignment horizontal="centerContinuous" wrapText="1"/>
    </xf>
    <xf numFmtId="0" fontId="5" fillId="7" borderId="20" xfId="0" applyFont="1" applyFill="1" applyBorder="1" applyAlignment="1">
      <alignment horizontal="centerContinuous" wrapText="1"/>
    </xf>
    <xf numFmtId="1" fontId="42" fillId="0" borderId="83" xfId="5" quotePrefix="1" applyNumberFormat="1" applyFont="1" applyBorder="1" applyAlignment="1">
      <alignment horizontal="center" vertical="center"/>
    </xf>
    <xf numFmtId="1" fontId="42" fillId="0" borderId="84" xfId="5" applyNumberFormat="1" applyFont="1" applyBorder="1" applyAlignment="1">
      <alignment horizontal="center" vertical="center"/>
    </xf>
    <xf numFmtId="1" fontId="1" fillId="7" borderId="85" xfId="5" applyNumberFormat="1" applyFont="1" applyFill="1" applyBorder="1" applyAlignment="1">
      <alignment horizontal="left" vertical="center"/>
    </xf>
    <xf numFmtId="0" fontId="6" fillId="2" borderId="86" xfId="5" applyNumberFormat="1" applyFont="1" applyFill="1" applyBorder="1" applyAlignment="1">
      <alignment horizontal="center" vertical="center"/>
    </xf>
    <xf numFmtId="0" fontId="5" fillId="0" borderId="87" xfId="0" applyFont="1" applyBorder="1" applyAlignment="1">
      <alignment horizontal="center" vertical="center"/>
    </xf>
    <xf numFmtId="1" fontId="1" fillId="7" borderId="85" xfId="0" applyNumberFormat="1" applyFont="1" applyFill="1" applyBorder="1" applyAlignment="1">
      <alignment horizontal="left" vertical="center"/>
    </xf>
    <xf numFmtId="0" fontId="5" fillId="0" borderId="88" xfId="0" applyFont="1" applyBorder="1" applyAlignment="1">
      <alignment horizontal="center" vertical="center"/>
    </xf>
    <xf numFmtId="1" fontId="42" fillId="0" borderId="82" xfId="0" quotePrefix="1" applyNumberFormat="1" applyFont="1" applyBorder="1" applyAlignment="1">
      <alignment horizontal="center" vertical="center"/>
    </xf>
    <xf numFmtId="1" fontId="1" fillId="7" borderId="71" xfId="5" applyNumberFormat="1" applyFont="1" applyFill="1" applyBorder="1" applyAlignment="1">
      <alignment horizontal="left" vertical="center"/>
    </xf>
    <xf numFmtId="0" fontId="6" fillId="2" borderId="63" xfId="5" applyNumberFormat="1" applyFont="1" applyFill="1" applyBorder="1" applyAlignment="1">
      <alignment horizontal="center" vertical="center"/>
    </xf>
    <xf numFmtId="0" fontId="5" fillId="0" borderId="65" xfId="0" applyFont="1" applyBorder="1" applyAlignment="1">
      <alignment horizontal="center" vertical="center"/>
    </xf>
    <xf numFmtId="0" fontId="5" fillId="0" borderId="89" xfId="0" applyFont="1" applyBorder="1" applyAlignment="1">
      <alignment horizontal="center" vertical="center"/>
    </xf>
    <xf numFmtId="1" fontId="42" fillId="0" borderId="4" xfId="5" applyNumberFormat="1" applyFont="1" applyBorder="1" applyAlignment="1">
      <alignment horizontal="center" vertical="center"/>
    </xf>
    <xf numFmtId="0" fontId="6" fillId="2" borderId="30" xfId="0" applyFont="1" applyFill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1" fontId="42" fillId="0" borderId="90" xfId="0" quotePrefix="1" applyNumberFormat="1" applyFont="1" applyBorder="1" applyAlignment="1">
      <alignment horizontal="center" vertical="center"/>
    </xf>
    <xf numFmtId="1" fontId="42" fillId="0" borderId="4" xfId="0" applyNumberFormat="1" applyFont="1" applyBorder="1" applyAlignment="1">
      <alignment horizontal="center" vertical="center"/>
    </xf>
    <xf numFmtId="0" fontId="6" fillId="2" borderId="30" xfId="5" applyNumberFormat="1" applyFont="1" applyFill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1" fontId="1" fillId="7" borderId="2" xfId="0" applyNumberFormat="1" applyFont="1" applyFill="1" applyBorder="1" applyAlignment="1">
      <alignment horizontal="left" vertical="center"/>
    </xf>
    <xf numFmtId="0" fontId="6" fillId="2" borderId="63" xfId="0" applyFont="1" applyFill="1" applyBorder="1" applyAlignment="1">
      <alignment horizontal="center" vertical="center"/>
    </xf>
    <xf numFmtId="1" fontId="42" fillId="0" borderId="91" xfId="5" quotePrefix="1" applyNumberFormat="1" applyFont="1" applyBorder="1" applyAlignment="1">
      <alignment horizontal="center" vertical="center"/>
    </xf>
    <xf numFmtId="1" fontId="42" fillId="0" borderId="92" xfId="0" applyNumberFormat="1" applyFont="1" applyBorder="1" applyAlignment="1">
      <alignment horizontal="center" vertical="center"/>
    </xf>
    <xf numFmtId="0" fontId="1" fillId="0" borderId="87" xfId="0" applyFont="1" applyBorder="1" applyAlignment="1">
      <alignment horizontal="center" vertical="center"/>
    </xf>
    <xf numFmtId="0" fontId="1" fillId="0" borderId="88" xfId="0" applyFont="1" applyBorder="1" applyAlignment="1">
      <alignment horizontal="center" vertical="center"/>
    </xf>
    <xf numFmtId="1" fontId="1" fillId="7" borderId="93" xfId="0" applyNumberFormat="1" applyFont="1" applyFill="1" applyBorder="1" applyAlignment="1">
      <alignment horizontal="left" vertical="center"/>
    </xf>
    <xf numFmtId="1" fontId="1" fillId="7" borderId="93" xfId="5" applyNumberFormat="1" applyFont="1" applyFill="1" applyBorder="1" applyAlignment="1">
      <alignment horizontal="left" vertical="center"/>
    </xf>
    <xf numFmtId="0" fontId="5" fillId="0" borderId="94" xfId="0" applyFont="1" applyBorder="1" applyAlignment="1">
      <alignment horizontal="center" vertical="center"/>
    </xf>
    <xf numFmtId="1" fontId="42" fillId="0" borderId="95" xfId="5" applyNumberFormat="1" applyFont="1" applyBorder="1" applyAlignment="1">
      <alignment horizontal="center" vertical="center"/>
    </xf>
    <xf numFmtId="1" fontId="1" fillId="0" borderId="2" xfId="0" applyNumberFormat="1" applyFont="1" applyBorder="1" applyAlignment="1">
      <alignment horizontal="left" vertical="center"/>
    </xf>
    <xf numFmtId="0" fontId="1" fillId="0" borderId="65" xfId="0" applyFont="1" applyBorder="1" applyAlignment="1">
      <alignment horizontal="center" vertical="center"/>
    </xf>
    <xf numFmtId="0" fontId="43" fillId="0" borderId="2" xfId="0" applyFont="1" applyBorder="1" applyAlignment="1">
      <alignment horizontal="left" vertical="center"/>
    </xf>
    <xf numFmtId="1" fontId="1" fillId="7" borderId="2" xfId="5" applyNumberFormat="1" applyFont="1" applyFill="1" applyBorder="1" applyAlignment="1">
      <alignment horizontal="left" vertical="center"/>
    </xf>
    <xf numFmtId="1" fontId="42" fillId="0" borderId="96" xfId="5" applyNumberFormat="1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/>
    </xf>
    <xf numFmtId="0" fontId="6" fillId="16" borderId="30" xfId="0" applyFont="1" applyFill="1" applyBorder="1" applyAlignment="1">
      <alignment horizontal="center" vertical="center"/>
    </xf>
    <xf numFmtId="1" fontId="1" fillId="7" borderId="71" xfId="0" applyNumberFormat="1" applyFont="1" applyFill="1" applyBorder="1" applyAlignment="1">
      <alignment horizontal="left" vertical="center"/>
    </xf>
    <xf numFmtId="1" fontId="42" fillId="0" borderId="91" xfId="0" quotePrefix="1" applyNumberFormat="1" applyFont="1" applyBorder="1" applyAlignment="1">
      <alignment horizontal="center" vertical="center"/>
    </xf>
    <xf numFmtId="1" fontId="1" fillId="0" borderId="85" xfId="5" applyNumberFormat="1" applyFont="1" applyBorder="1" applyAlignment="1">
      <alignment horizontal="left" vertical="center"/>
    </xf>
    <xf numFmtId="1" fontId="1" fillId="0" borderId="71" xfId="5" applyNumberFormat="1" applyFont="1" applyBorder="1" applyAlignment="1">
      <alignment horizontal="left" vertical="center"/>
    </xf>
    <xf numFmtId="1" fontId="1" fillId="0" borderId="71" xfId="0" applyNumberFormat="1" applyFont="1" applyBorder="1" applyAlignment="1">
      <alignment horizontal="left" vertical="center"/>
    </xf>
    <xf numFmtId="0" fontId="1" fillId="0" borderId="89" xfId="0" applyFont="1" applyBorder="1" applyAlignment="1">
      <alignment horizontal="center" vertical="center"/>
    </xf>
    <xf numFmtId="1" fontId="42" fillId="0" borderId="83" xfId="0" quotePrefix="1" applyNumberFormat="1" applyFont="1" applyBorder="1" applyAlignment="1">
      <alignment horizontal="center" vertical="center"/>
    </xf>
    <xf numFmtId="1" fontId="1" fillId="7" borderId="72" xfId="0" applyNumberFormat="1" applyFont="1" applyFill="1" applyBorder="1" applyAlignment="1">
      <alignment horizontal="left" vertical="center"/>
    </xf>
    <xf numFmtId="1" fontId="42" fillId="0" borderId="95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42" fillId="0" borderId="97" xfId="0" quotePrefix="1" applyNumberFormat="1" applyFont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43" xfId="0" applyFont="1" applyBorder="1" applyAlignment="1">
      <alignment horizontal="center" vertical="center"/>
    </xf>
    <xf numFmtId="0" fontId="6" fillId="2" borderId="98" xfId="0" applyFont="1" applyFill="1" applyBorder="1" applyAlignment="1">
      <alignment horizontal="center" vertical="center"/>
    </xf>
    <xf numFmtId="0" fontId="1" fillId="0" borderId="99" xfId="0" applyFont="1" applyBorder="1" applyAlignment="1">
      <alignment horizontal="center" vertical="center"/>
    </xf>
    <xf numFmtId="1" fontId="42" fillId="0" borderId="100" xfId="0" applyNumberFormat="1" applyFont="1" applyBorder="1" applyAlignment="1">
      <alignment horizontal="center" vertical="center"/>
    </xf>
    <xf numFmtId="0" fontId="6" fillId="2" borderId="101" xfId="5" applyNumberFormat="1" applyFont="1" applyFill="1" applyBorder="1" applyAlignment="1">
      <alignment horizontal="center" vertical="center"/>
    </xf>
    <xf numFmtId="0" fontId="2" fillId="17" borderId="79" xfId="0" applyFont="1" applyFill="1" applyBorder="1" applyAlignment="1">
      <alignment horizontal="centerContinuous" vertical="center"/>
    </xf>
    <xf numFmtId="0" fontId="2" fillId="17" borderId="40" xfId="0" applyFont="1" applyFill="1" applyBorder="1" applyAlignment="1">
      <alignment horizontal="centerContinuous" vertical="center"/>
    </xf>
    <xf numFmtId="0" fontId="11" fillId="17" borderId="80" xfId="0" applyFont="1" applyFill="1" applyBorder="1" applyAlignment="1">
      <alignment horizontal="centerContinuous"/>
    </xf>
    <xf numFmtId="1" fontId="6" fillId="17" borderId="2" xfId="0" applyNumberFormat="1" applyFont="1" applyFill="1" applyBorder="1" applyAlignment="1">
      <alignment horizontal="center" vertical="center"/>
    </xf>
    <xf numFmtId="0" fontId="6" fillId="17" borderId="43" xfId="0" applyFont="1" applyFill="1" applyBorder="1" applyAlignment="1">
      <alignment horizontal="centerContinuous" wrapText="1"/>
    </xf>
    <xf numFmtId="1" fontId="6" fillId="17" borderId="30" xfId="0" applyNumberFormat="1" applyFont="1" applyFill="1" applyBorder="1" applyAlignment="1">
      <alignment horizontal="center" vertical="center"/>
    </xf>
    <xf numFmtId="0" fontId="6" fillId="17" borderId="3" xfId="0" applyFont="1" applyFill="1" applyBorder="1" applyAlignment="1">
      <alignment horizontal="centerContinuous" wrapText="1"/>
    </xf>
    <xf numFmtId="0" fontId="6" fillId="17" borderId="20" xfId="0" applyFont="1" applyFill="1" applyBorder="1" applyAlignment="1">
      <alignment horizontal="centerContinuous" wrapText="1"/>
    </xf>
    <xf numFmtId="1" fontId="42" fillId="7" borderId="102" xfId="0" applyNumberFormat="1" applyFont="1" applyFill="1" applyBorder="1" applyAlignment="1">
      <alignment horizontal="center" vertical="center"/>
    </xf>
    <xf numFmtId="0" fontId="6" fillId="16" borderId="38" xfId="0" applyFont="1" applyFill="1" applyBorder="1" applyAlignment="1">
      <alignment horizontal="center" vertical="center" wrapText="1"/>
    </xf>
    <xf numFmtId="0" fontId="6" fillId="16" borderId="63" xfId="0" applyFont="1" applyFill="1" applyBorder="1" applyAlignment="1">
      <alignment horizontal="center" vertical="top" wrapText="1"/>
    </xf>
    <xf numFmtId="0" fontId="5" fillId="7" borderId="89" xfId="0" applyFont="1" applyFill="1" applyBorder="1" applyAlignment="1">
      <alignment horizontal="centerContinuous" wrapText="1"/>
    </xf>
    <xf numFmtId="1" fontId="42" fillId="0" borderId="84" xfId="0" applyNumberFormat="1" applyFont="1" applyBorder="1" applyAlignment="1">
      <alignment horizontal="center" vertical="center"/>
    </xf>
    <xf numFmtId="0" fontId="6" fillId="2" borderId="101" xfId="0" applyFont="1" applyFill="1" applyBorder="1" applyAlignment="1">
      <alignment horizontal="center" vertical="center"/>
    </xf>
    <xf numFmtId="0" fontId="6" fillId="2" borderId="86" xfId="0" applyFont="1" applyFill="1" applyBorder="1" applyAlignment="1">
      <alignment horizontal="center" vertical="center"/>
    </xf>
    <xf numFmtId="1" fontId="42" fillId="0" borderId="90" xfId="5" quotePrefix="1" applyNumberFormat="1" applyFont="1" applyBorder="1" applyAlignment="1">
      <alignment horizontal="center" vertical="center"/>
    </xf>
    <xf numFmtId="0" fontId="6" fillId="2" borderId="103" xfId="0" applyFont="1" applyFill="1" applyBorder="1" applyAlignment="1">
      <alignment horizontal="center" vertical="center"/>
    </xf>
    <xf numFmtId="0" fontId="6" fillId="16" borderId="3" xfId="0" applyFont="1" applyFill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6" fillId="16" borderId="101" xfId="0" applyFont="1" applyFill="1" applyBorder="1" applyAlignment="1">
      <alignment horizontal="center"/>
    </xf>
    <xf numFmtId="0" fontId="6" fillId="16" borderId="98" xfId="0" applyFont="1" applyFill="1" applyBorder="1" applyAlignment="1">
      <alignment horizontal="center"/>
    </xf>
    <xf numFmtId="0" fontId="44" fillId="0" borderId="94" xfId="0" applyFont="1" applyBorder="1" applyAlignment="1">
      <alignment horizontal="center" vertical="top"/>
    </xf>
    <xf numFmtId="0" fontId="1" fillId="0" borderId="104" xfId="0" applyFont="1" applyBorder="1" applyAlignment="1">
      <alignment vertical="center" wrapText="1"/>
    </xf>
    <xf numFmtId="1" fontId="42" fillId="0" borderId="78" xfId="0" applyNumberFormat="1" applyFont="1" applyBorder="1" applyAlignment="1">
      <alignment horizontal="center" vertical="center"/>
    </xf>
    <xf numFmtId="169" fontId="1" fillId="7" borderId="72" xfId="0" applyNumberFormat="1" applyFont="1" applyFill="1" applyBorder="1" applyAlignment="1">
      <alignment horizontal="left" vertical="center"/>
    </xf>
    <xf numFmtId="0" fontId="6" fillId="2" borderId="3" xfId="5" applyNumberFormat="1" applyFont="1" applyFill="1" applyBorder="1" applyAlignment="1">
      <alignment horizontal="center" vertical="center"/>
    </xf>
    <xf numFmtId="0" fontId="5" fillId="7" borderId="43" xfId="0" applyFont="1" applyFill="1" applyBorder="1" applyAlignment="1">
      <alignment horizontal="center" vertical="center"/>
    </xf>
    <xf numFmtId="0" fontId="6" fillId="16" borderId="86" xfId="0" applyFont="1" applyFill="1" applyBorder="1" applyAlignment="1">
      <alignment horizontal="center" vertical="center"/>
    </xf>
    <xf numFmtId="0" fontId="6" fillId="16" borderId="63" xfId="0" applyFont="1" applyFill="1" applyBorder="1" applyAlignment="1">
      <alignment horizontal="center" vertical="center"/>
    </xf>
    <xf numFmtId="1" fontId="42" fillId="0" borderId="78" xfId="5" applyNumberFormat="1" applyFont="1" applyBorder="1" applyAlignment="1">
      <alignment horizontal="center" vertical="center"/>
    </xf>
    <xf numFmtId="1" fontId="42" fillId="0" borderId="92" xfId="5" applyNumberFormat="1" applyFont="1" applyBorder="1" applyAlignment="1">
      <alignment horizontal="center" vertical="center"/>
    </xf>
    <xf numFmtId="1" fontId="6" fillId="16" borderId="62" xfId="0" applyNumberFormat="1" applyFont="1" applyFill="1" applyBorder="1" applyAlignment="1">
      <alignment horizontal="center" vertical="center"/>
    </xf>
    <xf numFmtId="0" fontId="5" fillId="0" borderId="105" xfId="0" applyFont="1" applyBorder="1" applyAlignment="1">
      <alignment horizontal="center" vertical="center"/>
    </xf>
    <xf numFmtId="0" fontId="5" fillId="0" borderId="106" xfId="0" applyFont="1" applyBorder="1" applyAlignment="1">
      <alignment horizontal="center" vertical="center"/>
    </xf>
    <xf numFmtId="0" fontId="39" fillId="0" borderId="85" xfId="0" applyFont="1" applyBorder="1"/>
    <xf numFmtId="0" fontId="5" fillId="7" borderId="20" xfId="0" applyFont="1" applyFill="1" applyBorder="1" applyAlignment="1">
      <alignment horizontal="center" vertical="center"/>
    </xf>
    <xf numFmtId="0" fontId="6" fillId="2" borderId="64" xfId="0" applyFont="1" applyFill="1" applyBorder="1" applyAlignment="1">
      <alignment horizontal="center" vertical="center"/>
    </xf>
    <xf numFmtId="0" fontId="5" fillId="0" borderId="107" xfId="0" applyFont="1" applyBorder="1" applyAlignment="1">
      <alignment horizontal="center" vertical="center"/>
    </xf>
    <xf numFmtId="1" fontId="42" fillId="0" borderId="108" xfId="0" quotePrefix="1" applyNumberFormat="1" applyFont="1" applyBorder="1" applyAlignment="1">
      <alignment horizontal="center" vertical="center"/>
    </xf>
    <xf numFmtId="1" fontId="42" fillId="0" borderId="109" xfId="5" applyNumberFormat="1" applyFont="1" applyBorder="1" applyAlignment="1">
      <alignment horizontal="center" vertical="center"/>
    </xf>
    <xf numFmtId="0" fontId="5" fillId="0" borderId="110" xfId="0" applyFont="1" applyBorder="1" applyAlignment="1">
      <alignment horizontal="center" vertical="center"/>
    </xf>
    <xf numFmtId="1" fontId="1" fillId="7" borderId="1" xfId="5" applyNumberFormat="1" applyFont="1" applyFill="1" applyBorder="1" applyAlignment="1">
      <alignment horizontal="left" vertical="center"/>
    </xf>
    <xf numFmtId="1" fontId="1" fillId="7" borderId="1" xfId="0" applyNumberFormat="1" applyFont="1" applyFill="1" applyBorder="1" applyAlignment="1">
      <alignment horizontal="left" vertical="center"/>
    </xf>
    <xf numFmtId="1" fontId="1" fillId="7" borderId="67" xfId="0" applyNumberFormat="1" applyFont="1" applyFill="1" applyBorder="1" applyAlignment="1">
      <alignment horizontal="left" vertical="center"/>
    </xf>
    <xf numFmtId="0" fontId="6" fillId="2" borderId="62" xfId="5" applyNumberFormat="1" applyFont="1" applyFill="1" applyBorder="1" applyAlignment="1">
      <alignment horizontal="center" vertical="center"/>
    </xf>
    <xf numFmtId="1" fontId="1" fillId="7" borderId="30" xfId="5" applyNumberFormat="1" applyFont="1" applyFill="1" applyBorder="1" applyAlignment="1">
      <alignment horizontal="left" vertical="center"/>
    </xf>
    <xf numFmtId="1" fontId="1" fillId="7" borderId="63" xfId="5" applyNumberFormat="1" applyFont="1" applyFill="1" applyBorder="1" applyAlignment="1">
      <alignment horizontal="left" vertical="center"/>
    </xf>
    <xf numFmtId="0" fontId="5" fillId="0" borderId="43" xfId="0" applyFont="1" applyBorder="1" applyAlignment="1">
      <alignment horizontal="center"/>
    </xf>
    <xf numFmtId="0" fontId="1" fillId="0" borderId="107" xfId="0" applyFont="1" applyBorder="1" applyAlignment="1">
      <alignment horizontal="center" vertical="center"/>
    </xf>
    <xf numFmtId="0" fontId="1" fillId="0" borderId="110" xfId="0" applyFont="1" applyBorder="1" applyAlignment="1">
      <alignment horizontal="center" vertical="center"/>
    </xf>
    <xf numFmtId="0" fontId="2" fillId="15" borderId="79" xfId="0" applyFont="1" applyFill="1" applyBorder="1" applyAlignment="1">
      <alignment horizontal="center"/>
    </xf>
    <xf numFmtId="0" fontId="2" fillId="15" borderId="40" xfId="0" applyFont="1" applyFill="1" applyBorder="1" applyAlignment="1">
      <alignment horizontal="center"/>
    </xf>
    <xf numFmtId="0" fontId="11" fillId="15" borderId="80" xfId="0" applyFont="1" applyFill="1" applyBorder="1" applyAlignment="1">
      <alignment horizontal="center"/>
    </xf>
    <xf numFmtId="1" fontId="6" fillId="15" borderId="2" xfId="0" applyNumberFormat="1" applyFont="1" applyFill="1" applyBorder="1" applyAlignment="1">
      <alignment horizontal="center"/>
    </xf>
    <xf numFmtId="0" fontId="6" fillId="15" borderId="3" xfId="0" applyFont="1" applyFill="1" applyBorder="1" applyAlignment="1">
      <alignment horizontal="center" wrapText="1"/>
    </xf>
    <xf numFmtId="0" fontId="6" fillId="15" borderId="43" xfId="0" applyFont="1" applyFill="1" applyBorder="1" applyAlignment="1">
      <alignment horizontal="center" wrapText="1"/>
    </xf>
    <xf numFmtId="1" fontId="6" fillId="15" borderId="30" xfId="0" applyNumberFormat="1" applyFont="1" applyFill="1" applyBorder="1" applyAlignment="1">
      <alignment horizontal="center"/>
    </xf>
    <xf numFmtId="0" fontId="6" fillId="15" borderId="20" xfId="0" applyFont="1" applyFill="1" applyBorder="1" applyAlignment="1">
      <alignment horizontal="center" wrapText="1"/>
    </xf>
    <xf numFmtId="1" fontId="42" fillId="0" borderId="90" xfId="0" quotePrefix="1" applyNumberFormat="1" applyFont="1" applyBorder="1" applyAlignment="1">
      <alignment horizontal="center"/>
    </xf>
    <xf numFmtId="1" fontId="42" fillId="0" borderId="4" xfId="0" applyNumberFormat="1" applyFont="1" applyBorder="1" applyAlignment="1">
      <alignment horizontal="center"/>
    </xf>
    <xf numFmtId="1" fontId="1" fillId="7" borderId="2" xfId="0" applyNumberFormat="1" applyFont="1" applyFill="1" applyBorder="1" applyAlignment="1">
      <alignment horizontal="center"/>
    </xf>
    <xf numFmtId="0" fontId="6" fillId="2" borderId="30" xfId="5" applyNumberFormat="1" applyFont="1" applyFill="1" applyBorder="1" applyAlignment="1">
      <alignment horizontal="center"/>
    </xf>
    <xf numFmtId="0" fontId="5" fillId="0" borderId="20" xfId="0" applyFont="1" applyBorder="1" applyAlignment="1">
      <alignment horizontal="center"/>
    </xf>
    <xf numFmtId="0" fontId="6" fillId="2" borderId="30" xfId="0" applyFont="1" applyFill="1" applyBorder="1" applyAlignment="1">
      <alignment horizontal="center"/>
    </xf>
    <xf numFmtId="0" fontId="6" fillId="2" borderId="63" xfId="0" applyFont="1" applyFill="1" applyBorder="1" applyAlignment="1">
      <alignment horizontal="center"/>
    </xf>
    <xf numFmtId="0" fontId="5" fillId="0" borderId="65" xfId="0" applyFont="1" applyBorder="1" applyAlignment="1">
      <alignment horizontal="center"/>
    </xf>
    <xf numFmtId="0" fontId="5" fillId="0" borderId="89" xfId="0" applyFont="1" applyBorder="1" applyAlignment="1">
      <alignment horizontal="center"/>
    </xf>
    <xf numFmtId="1" fontId="1" fillId="7" borderId="71" xfId="0" applyNumberFormat="1" applyFont="1" applyFill="1" applyBorder="1" applyAlignment="1">
      <alignment horizontal="center"/>
    </xf>
    <xf numFmtId="0" fontId="1" fillId="0" borderId="65" xfId="0" applyFont="1" applyBorder="1" applyAlignment="1">
      <alignment horizontal="center"/>
    </xf>
    <xf numFmtId="0" fontId="1" fillId="0" borderId="89" xfId="0" applyFont="1" applyBorder="1" applyAlignment="1">
      <alignment horizontal="center"/>
    </xf>
    <xf numFmtId="1" fontId="42" fillId="0" borderId="91" xfId="5" quotePrefix="1" applyNumberFormat="1" applyFont="1" applyBorder="1" applyAlignment="1">
      <alignment horizontal="center"/>
    </xf>
    <xf numFmtId="1" fontId="42" fillId="0" borderId="92" xfId="0" applyNumberFormat="1" applyFont="1" applyBorder="1" applyAlignment="1">
      <alignment horizontal="center"/>
    </xf>
    <xf numFmtId="1" fontId="1" fillId="7" borderId="85" xfId="5" applyNumberFormat="1" applyFont="1" applyFill="1" applyBorder="1" applyAlignment="1">
      <alignment horizontal="center"/>
    </xf>
    <xf numFmtId="0" fontId="6" fillId="2" borderId="86" xfId="5" applyNumberFormat="1" applyFont="1" applyFill="1" applyBorder="1" applyAlignment="1">
      <alignment horizontal="center"/>
    </xf>
    <xf numFmtId="0" fontId="1" fillId="0" borderId="87" xfId="0" applyFont="1" applyBorder="1" applyAlignment="1">
      <alignment horizontal="center"/>
    </xf>
    <xf numFmtId="0" fontId="1" fillId="0" borderId="88" xfId="0" applyFont="1" applyBorder="1" applyAlignment="1">
      <alignment horizontal="center"/>
    </xf>
    <xf numFmtId="1" fontId="42" fillId="0" borderId="82" xfId="0" quotePrefix="1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71" xfId="0" applyNumberFormat="1" applyFont="1" applyBorder="1" applyAlignment="1">
      <alignment horizontal="center"/>
    </xf>
    <xf numFmtId="1" fontId="1" fillId="0" borderId="85" xfId="0" applyNumberFormat="1" applyFont="1" applyBorder="1" applyAlignment="1">
      <alignment horizontal="center"/>
    </xf>
    <xf numFmtId="0" fontId="5" fillId="0" borderId="87" xfId="0" applyFont="1" applyBorder="1" applyAlignment="1">
      <alignment horizontal="center"/>
    </xf>
    <xf numFmtId="0" fontId="5" fillId="0" borderId="88" xfId="0" applyFont="1" applyBorder="1" applyAlignment="1">
      <alignment horizontal="center"/>
    </xf>
    <xf numFmtId="1" fontId="42" fillId="0" borderId="95" xfId="5" applyNumberFormat="1" applyFont="1" applyBorder="1" applyAlignment="1">
      <alignment horizontal="center"/>
    </xf>
    <xf numFmtId="0" fontId="5" fillId="7" borderId="20" xfId="0" applyFont="1" applyFill="1" applyBorder="1" applyAlignment="1">
      <alignment horizontal="center"/>
    </xf>
    <xf numFmtId="1" fontId="42" fillId="0" borderId="96" xfId="5" applyNumberFormat="1" applyFont="1" applyBorder="1" applyAlignment="1">
      <alignment horizontal="center"/>
    </xf>
    <xf numFmtId="0" fontId="1" fillId="0" borderId="43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1" fontId="42" fillId="0" borderId="91" xfId="0" quotePrefix="1" applyNumberFormat="1" applyFont="1" applyBorder="1" applyAlignment="1">
      <alignment horizontal="center"/>
    </xf>
    <xf numFmtId="1" fontId="1" fillId="0" borderId="85" xfId="5" applyNumberFormat="1" applyFont="1" applyBorder="1" applyAlignment="1">
      <alignment horizontal="center"/>
    </xf>
    <xf numFmtId="0" fontId="5" fillId="0" borderId="66" xfId="0" applyFont="1" applyBorder="1" applyAlignment="1">
      <alignment horizontal="center"/>
    </xf>
    <xf numFmtId="1" fontId="42" fillId="0" borderId="111" xfId="0" applyNumberFormat="1" applyFont="1" applyBorder="1" applyAlignment="1">
      <alignment horizontal="center"/>
    </xf>
    <xf numFmtId="0" fontId="6" fillId="2" borderId="98" xfId="0" applyFont="1" applyFill="1" applyBorder="1" applyAlignment="1">
      <alignment horizontal="center"/>
    </xf>
    <xf numFmtId="0" fontId="1" fillId="0" borderId="105" xfId="0" applyFont="1" applyBorder="1" applyAlignment="1">
      <alignment horizontal="center"/>
    </xf>
    <xf numFmtId="0" fontId="1" fillId="0" borderId="99" xfId="0" applyFont="1" applyBorder="1" applyAlignment="1">
      <alignment horizontal="center"/>
    </xf>
    <xf numFmtId="0" fontId="6" fillId="2" borderId="101" xfId="5" applyNumberFormat="1" applyFont="1" applyFill="1" applyBorder="1" applyAlignment="1">
      <alignment horizontal="center"/>
    </xf>
    <xf numFmtId="1" fontId="42" fillId="0" borderId="97" xfId="0" quotePrefix="1" applyNumberFormat="1" applyFont="1" applyBorder="1" applyAlignment="1">
      <alignment horizontal="center"/>
    </xf>
    <xf numFmtId="1" fontId="42" fillId="0" borderId="112" xfId="0" applyNumberFormat="1" applyFont="1" applyBorder="1" applyAlignment="1">
      <alignment horizontal="center"/>
    </xf>
    <xf numFmtId="1" fontId="1" fillId="0" borderId="71" xfId="5" applyNumberFormat="1" applyFont="1" applyBorder="1" applyAlignment="1">
      <alignment horizontal="center"/>
    </xf>
    <xf numFmtId="0" fontId="6" fillId="2" borderId="64" xfId="5" applyNumberFormat="1" applyFont="1" applyFill="1" applyBorder="1" applyAlignment="1">
      <alignment horizontal="center"/>
    </xf>
    <xf numFmtId="1" fontId="1" fillId="0" borderId="2" xfId="5" applyNumberFormat="1" applyFont="1" applyBorder="1" applyAlignment="1">
      <alignment horizontal="center"/>
    </xf>
    <xf numFmtId="0" fontId="6" fillId="2" borderId="3" xfId="5" applyNumberFormat="1" applyFont="1" applyFill="1" applyBorder="1" applyAlignment="1">
      <alignment horizontal="center"/>
    </xf>
    <xf numFmtId="0" fontId="6" fillId="2" borderId="103" xfId="5" applyNumberFormat="1" applyFont="1" applyFill="1" applyBorder="1" applyAlignment="1">
      <alignment horizontal="center"/>
    </xf>
    <xf numFmtId="1" fontId="1" fillId="0" borderId="113" xfId="5" applyNumberFormat="1" applyFont="1" applyBorder="1" applyAlignment="1">
      <alignment horizontal="center"/>
    </xf>
    <xf numFmtId="0" fontId="6" fillId="2" borderId="114" xfId="5" applyNumberFormat="1" applyFont="1" applyFill="1" applyBorder="1" applyAlignment="1">
      <alignment horizontal="center"/>
    </xf>
    <xf numFmtId="0" fontId="1" fillId="0" borderId="106" xfId="0" applyFont="1" applyBorder="1" applyAlignment="1">
      <alignment horizontal="center"/>
    </xf>
    <xf numFmtId="167" fontId="6" fillId="0" borderId="53" xfId="0" applyNumberFormat="1" applyFont="1" applyBorder="1" applyAlignment="1" applyProtection="1">
      <alignment vertical="center"/>
      <protection locked="0"/>
    </xf>
    <xf numFmtId="167" fontId="6" fillId="0" borderId="0" xfId="0" applyNumberFormat="1" applyFont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0" fontId="6" fillId="0" borderId="49" xfId="0" applyFont="1" applyBorder="1" applyAlignment="1">
      <alignment horizontal="center" vertical="center"/>
    </xf>
    <xf numFmtId="0" fontId="6" fillId="0" borderId="10" xfId="0" applyFont="1" applyBorder="1" applyAlignment="1" applyProtection="1">
      <alignment horizontal="center" vertical="center"/>
      <protection locked="0"/>
    </xf>
    <xf numFmtId="0" fontId="24" fillId="2" borderId="35" xfId="2" applyFont="1" applyFill="1" applyBorder="1" applyAlignment="1">
      <alignment horizontal="center" vertical="center"/>
    </xf>
    <xf numFmtId="0" fontId="24" fillId="0" borderId="115" xfId="2" applyFont="1" applyBorder="1" applyAlignment="1">
      <alignment horizontal="center" vertical="center"/>
    </xf>
    <xf numFmtId="0" fontId="24" fillId="12" borderId="4" xfId="2" applyFont="1" applyFill="1" applyBorder="1" applyAlignment="1">
      <alignment horizontal="center" vertical="center"/>
    </xf>
    <xf numFmtId="0" fontId="45" fillId="0" borderId="0" xfId="0" applyFont="1" applyAlignment="1">
      <alignment vertical="center"/>
    </xf>
    <xf numFmtId="170" fontId="7" fillId="0" borderId="0" xfId="0" applyNumberFormat="1" applyFont="1" applyAlignment="1">
      <alignment vertical="center"/>
    </xf>
    <xf numFmtId="0" fontId="6" fillId="0" borderId="3" xfId="0" applyFont="1" applyBorder="1" applyAlignment="1" applyProtection="1">
      <alignment horizontal="center" vertical="center" wrapText="1"/>
      <protection locked="0"/>
    </xf>
    <xf numFmtId="0" fontId="15" fillId="18" borderId="2" xfId="0" quotePrefix="1" applyFont="1" applyFill="1" applyBorder="1" applyAlignment="1" applyProtection="1">
      <alignment horizontal="center" vertical="center"/>
      <protection locked="0"/>
    </xf>
    <xf numFmtId="0" fontId="15" fillId="18" borderId="3" xfId="0" quotePrefix="1" applyFont="1" applyFill="1" applyBorder="1" applyAlignment="1" applyProtection="1">
      <alignment horizontal="center" vertical="center"/>
      <protection locked="0"/>
    </xf>
    <xf numFmtId="0" fontId="15" fillId="18" borderId="43" xfId="0" quotePrefix="1" applyFont="1" applyFill="1" applyBorder="1" applyAlignment="1" applyProtection="1">
      <alignment horizontal="center" vertical="center"/>
      <protection locked="0"/>
    </xf>
    <xf numFmtId="0" fontId="47" fillId="19" borderId="3" xfId="0" quotePrefix="1" applyFont="1" applyFill="1" applyBorder="1" applyAlignment="1" applyProtection="1">
      <alignment horizontal="center" vertical="center"/>
      <protection locked="0"/>
    </xf>
    <xf numFmtId="0" fontId="47" fillId="19" borderId="43" xfId="0" quotePrefix="1" applyFont="1" applyFill="1" applyBorder="1" applyAlignment="1" applyProtection="1">
      <alignment horizontal="center" vertical="center"/>
      <protection locked="0"/>
    </xf>
    <xf numFmtId="0" fontId="47" fillId="19" borderId="2" xfId="0" quotePrefix="1" applyFont="1" applyFill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wrapText="1"/>
      <protection locked="0"/>
    </xf>
    <xf numFmtId="0" fontId="5" fillId="0" borderId="3" xfId="0" applyFont="1" applyBorder="1" applyAlignment="1" applyProtection="1">
      <alignment wrapText="1"/>
      <protection locked="0"/>
    </xf>
    <xf numFmtId="167" fontId="6" fillId="0" borderId="3" xfId="0" applyNumberFormat="1" applyFont="1" applyBorder="1" applyAlignment="1" applyProtection="1">
      <alignment wrapText="1"/>
      <protection locked="0"/>
    </xf>
    <xf numFmtId="0" fontId="15" fillId="0" borderId="3" xfId="0" quotePrefix="1" applyFont="1" applyBorder="1" applyAlignment="1" applyProtection="1">
      <alignment horizontal="center" vertical="center"/>
      <protection locked="0"/>
    </xf>
    <xf numFmtId="165" fontId="15" fillId="6" borderId="63" xfId="0" applyNumberFormat="1" applyFont="1" applyFill="1" applyBorder="1" applyAlignment="1">
      <alignment horizontal="center" vertical="center" wrapText="1"/>
    </xf>
    <xf numFmtId="165" fontId="15" fillId="6" borderId="62" xfId="0" applyNumberFormat="1" applyFont="1" applyFill="1" applyBorder="1" applyAlignment="1">
      <alignment horizontal="center" vertical="center" wrapText="1"/>
    </xf>
    <xf numFmtId="0" fontId="30" fillId="10" borderId="5" xfId="0" applyFont="1" applyFill="1" applyBorder="1" applyAlignment="1" applyProtection="1">
      <alignment horizontal="center" vertical="center" shrinkToFit="1"/>
      <protection locked="0"/>
    </xf>
    <xf numFmtId="0" fontId="30" fillId="10" borderId="42" xfId="0" applyFont="1" applyFill="1" applyBorder="1" applyAlignment="1" applyProtection="1">
      <alignment horizontal="center" vertical="center" shrinkToFit="1"/>
      <protection locked="0"/>
    </xf>
    <xf numFmtId="0" fontId="30" fillId="10" borderId="49" xfId="0" applyFont="1" applyFill="1" applyBorder="1" applyAlignment="1" applyProtection="1">
      <alignment horizontal="center" vertical="center" shrinkToFit="1"/>
      <protection locked="0"/>
    </xf>
    <xf numFmtId="0" fontId="30" fillId="10" borderId="37" xfId="0" applyFont="1" applyFill="1" applyBorder="1" applyAlignment="1" applyProtection="1">
      <alignment horizontal="center" vertical="center" shrinkToFit="1"/>
      <protection locked="0"/>
    </xf>
    <xf numFmtId="0" fontId="30" fillId="10" borderId="0" xfId="0" applyFont="1" applyFill="1" applyAlignment="1" applyProtection="1">
      <alignment horizontal="center" vertical="center" shrinkToFit="1"/>
      <protection locked="0"/>
    </xf>
    <xf numFmtId="0" fontId="30" fillId="10" borderId="8" xfId="0" applyFont="1" applyFill="1" applyBorder="1" applyAlignment="1" applyProtection="1">
      <alignment horizontal="center" vertical="center" shrinkToFit="1"/>
      <protection locked="0"/>
    </xf>
    <xf numFmtId="0" fontId="2" fillId="0" borderId="0" xfId="0" applyFont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4" fontId="29" fillId="10" borderId="52" xfId="0" applyNumberFormat="1" applyFont="1" applyFill="1" applyBorder="1" applyAlignment="1" applyProtection="1">
      <alignment horizontal="center" vertical="center" shrinkToFit="1"/>
      <protection locked="0"/>
    </xf>
    <xf numFmtId="0" fontId="29" fillId="10" borderId="53" xfId="0" applyFont="1" applyFill="1" applyBorder="1" applyAlignment="1" applyProtection="1">
      <alignment horizontal="center" vertical="center" shrinkToFit="1"/>
      <protection locked="0"/>
    </xf>
    <xf numFmtId="0" fontId="29" fillId="10" borderId="10" xfId="0" applyFont="1" applyFill="1" applyBorder="1" applyAlignment="1" applyProtection="1">
      <alignment horizontal="center" vertical="center" shrinkToFit="1"/>
      <protection locked="0"/>
    </xf>
    <xf numFmtId="165" fontId="15" fillId="6" borderId="64" xfId="0" applyNumberFormat="1" applyFont="1" applyFill="1" applyBorder="1" applyAlignment="1">
      <alignment horizontal="center" vertical="center" wrapText="1"/>
    </xf>
    <xf numFmtId="165" fontId="15" fillId="6" borderId="19" xfId="0" applyNumberFormat="1" applyFont="1" applyFill="1" applyBorder="1" applyAlignment="1">
      <alignment horizontal="center" vertical="center" wrapText="1"/>
    </xf>
    <xf numFmtId="0" fontId="15" fillId="9" borderId="64" xfId="0" applyFont="1" applyFill="1" applyBorder="1" applyAlignment="1">
      <alignment horizontal="center" vertical="center" wrapText="1"/>
    </xf>
    <xf numFmtId="0" fontId="15" fillId="9" borderId="19" xfId="0" applyFont="1" applyFill="1" applyBorder="1" applyAlignment="1">
      <alignment horizontal="center" vertical="center" wrapText="1"/>
    </xf>
    <xf numFmtId="0" fontId="15" fillId="9" borderId="71" xfId="0" applyFont="1" applyFill="1" applyBorder="1" applyAlignment="1">
      <alignment horizontal="center" vertical="center" wrapText="1"/>
    </xf>
    <xf numFmtId="0" fontId="15" fillId="9" borderId="72" xfId="0" applyFont="1" applyFill="1" applyBorder="1" applyAlignment="1">
      <alignment horizontal="center" vertical="center" wrapText="1"/>
    </xf>
    <xf numFmtId="0" fontId="36" fillId="0" borderId="42" xfId="0" applyFont="1" applyBorder="1" applyAlignment="1">
      <alignment horizontal="center" vertical="center"/>
    </xf>
    <xf numFmtId="0" fontId="17" fillId="6" borderId="63" xfId="0" applyFont="1" applyFill="1" applyBorder="1" applyAlignment="1">
      <alignment horizontal="center" vertical="center" wrapText="1"/>
    </xf>
    <xf numFmtId="0" fontId="17" fillId="6" borderId="62" xfId="0" applyFont="1" applyFill="1" applyBorder="1" applyAlignment="1">
      <alignment horizontal="center" vertical="center" wrapText="1"/>
    </xf>
    <xf numFmtId="0" fontId="15" fillId="6" borderId="65" xfId="0" applyFont="1" applyFill="1" applyBorder="1" applyAlignment="1">
      <alignment horizontal="center" vertical="center" wrapText="1"/>
    </xf>
    <xf numFmtId="0" fontId="15" fillId="6" borderId="66" xfId="0" applyFont="1" applyFill="1" applyBorder="1" applyAlignment="1">
      <alignment horizontal="center" vertical="center" wrapText="1"/>
    </xf>
    <xf numFmtId="0" fontId="16" fillId="6" borderId="69" xfId="0" applyFont="1" applyFill="1" applyBorder="1" applyAlignment="1">
      <alignment horizontal="center" vertical="center"/>
    </xf>
    <xf numFmtId="0" fontId="16" fillId="6" borderId="70" xfId="0" applyFont="1" applyFill="1" applyBorder="1" applyAlignment="1">
      <alignment horizontal="center" vertical="center"/>
    </xf>
    <xf numFmtId="0" fontId="15" fillId="6" borderId="1" xfId="0" applyFont="1" applyFill="1" applyBorder="1" applyAlignment="1">
      <alignment horizontal="center" vertical="center"/>
    </xf>
    <xf numFmtId="0" fontId="15" fillId="6" borderId="4" xfId="0" applyFont="1" applyFill="1" applyBorder="1" applyAlignment="1">
      <alignment horizontal="center" vertical="center"/>
    </xf>
    <xf numFmtId="0" fontId="15" fillId="6" borderId="30" xfId="0" applyFont="1" applyFill="1" applyBorder="1" applyAlignment="1">
      <alignment horizontal="center" vertical="center"/>
    </xf>
    <xf numFmtId="0" fontId="15" fillId="6" borderId="67" xfId="0" applyFont="1" applyFill="1" applyBorder="1" applyAlignment="1">
      <alignment horizontal="center" vertical="center" wrapText="1"/>
    </xf>
    <xf numFmtId="0" fontId="15" fillId="6" borderId="68" xfId="0" applyFont="1" applyFill="1" applyBorder="1" applyAlignment="1">
      <alignment horizontal="center" vertical="center" wrapText="1"/>
    </xf>
    <xf numFmtId="0" fontId="15" fillId="6" borderId="38" xfId="0" applyFont="1" applyFill="1" applyBorder="1" applyAlignment="1">
      <alignment horizontal="center" vertical="center" wrapText="1"/>
    </xf>
    <xf numFmtId="0" fontId="15" fillId="6" borderId="59" xfId="0" applyFont="1" applyFill="1" applyBorder="1" applyAlignment="1">
      <alignment horizontal="center" vertical="center" wrapText="1"/>
    </xf>
    <xf numFmtId="0" fontId="15" fillId="6" borderId="64" xfId="0" applyFont="1" applyFill="1" applyBorder="1" applyAlignment="1">
      <alignment horizontal="center" vertical="center" wrapText="1"/>
    </xf>
    <xf numFmtId="0" fontId="15" fillId="6" borderId="19" xfId="0" applyFont="1" applyFill="1" applyBorder="1" applyAlignment="1">
      <alignment horizontal="center" vertical="center" wrapText="1"/>
    </xf>
    <xf numFmtId="2" fontId="15" fillId="6" borderId="64" xfId="0" applyNumberFormat="1" applyFont="1" applyFill="1" applyBorder="1" applyAlignment="1">
      <alignment horizontal="center" vertical="center" wrapText="1"/>
    </xf>
    <xf numFmtId="2" fontId="15" fillId="6" borderId="19" xfId="0" applyNumberFormat="1" applyFont="1" applyFill="1" applyBorder="1" applyAlignment="1">
      <alignment horizontal="center" vertical="center" wrapText="1"/>
    </xf>
    <xf numFmtId="166" fontId="15" fillId="6" borderId="64" xfId="0" applyNumberFormat="1" applyFont="1" applyFill="1" applyBorder="1" applyAlignment="1">
      <alignment horizontal="center" vertical="center" wrapText="1"/>
    </xf>
    <xf numFmtId="166" fontId="15" fillId="6" borderId="19" xfId="0" applyNumberFormat="1" applyFont="1" applyFill="1" applyBorder="1" applyAlignment="1">
      <alignment horizontal="center" vertical="center" wrapText="1"/>
    </xf>
    <xf numFmtId="0" fontId="15" fillId="6" borderId="19" xfId="0" applyFont="1" applyFill="1" applyBorder="1" applyAlignment="1">
      <alignment wrapText="1"/>
    </xf>
    <xf numFmtId="0" fontId="2" fillId="8" borderId="35" xfId="0" applyFont="1" applyFill="1" applyBorder="1" applyAlignment="1" applyProtection="1">
      <alignment horizontal="center" vertical="center" shrinkToFit="1"/>
      <protection locked="0"/>
    </xf>
    <xf numFmtId="0" fontId="2" fillId="8" borderId="36" xfId="0" applyFont="1" applyFill="1" applyBorder="1" applyAlignment="1" applyProtection="1">
      <alignment horizontal="center" vertical="center" shrinkToFit="1"/>
      <protection locked="0"/>
    </xf>
    <xf numFmtId="0" fontId="2" fillId="8" borderId="39" xfId="0" applyFont="1" applyFill="1" applyBorder="1" applyAlignment="1" applyProtection="1">
      <alignment horizontal="center" vertical="center" shrinkToFit="1"/>
      <protection locked="0"/>
    </xf>
    <xf numFmtId="0" fontId="6" fillId="0" borderId="0" xfId="0" applyFont="1" applyAlignment="1">
      <alignment horizontal="center" vertical="center"/>
    </xf>
    <xf numFmtId="0" fontId="15" fillId="6" borderId="38" xfId="0" applyFont="1" applyFill="1" applyBorder="1" applyAlignment="1">
      <alignment horizontal="center" vertical="center"/>
    </xf>
    <xf numFmtId="0" fontId="15" fillId="6" borderId="59" xfId="0" applyFont="1" applyFill="1" applyBorder="1" applyAlignment="1">
      <alignment horizontal="center" vertical="center"/>
    </xf>
    <xf numFmtId="0" fontId="15" fillId="6" borderId="63" xfId="0" applyFont="1" applyFill="1" applyBorder="1" applyAlignment="1">
      <alignment horizontal="center" vertical="center"/>
    </xf>
    <xf numFmtId="0" fontId="15" fillId="6" borderId="62" xfId="0" applyFont="1" applyFill="1" applyBorder="1" applyAlignment="1">
      <alignment horizontal="center" vertical="center"/>
    </xf>
    <xf numFmtId="0" fontId="15" fillId="6" borderId="64" xfId="0" applyFont="1" applyFill="1" applyBorder="1" applyAlignment="1">
      <alignment horizontal="center" vertical="center"/>
    </xf>
    <xf numFmtId="0" fontId="15" fillId="6" borderId="19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49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vertical="center"/>
    </xf>
    <xf numFmtId="0" fontId="6" fillId="0" borderId="52" xfId="0" applyFont="1" applyBorder="1" applyAlignment="1" applyProtection="1">
      <alignment horizontal="center" vertical="center"/>
      <protection locked="0"/>
    </xf>
    <xf numFmtId="0" fontId="6" fillId="0" borderId="10" xfId="0" applyFont="1" applyBorder="1" applyAlignment="1" applyProtection="1">
      <alignment horizontal="center" vertical="center"/>
      <protection locked="0"/>
    </xf>
    <xf numFmtId="0" fontId="1" fillId="0" borderId="52" xfId="0" applyFont="1" applyBorder="1" applyAlignment="1" applyProtection="1">
      <alignment horizontal="center" vertical="center"/>
      <protection locked="0"/>
    </xf>
    <xf numFmtId="0" fontId="1" fillId="0" borderId="53" xfId="0" applyFont="1" applyBorder="1" applyAlignment="1" applyProtection="1">
      <alignment horizontal="center" vertical="center"/>
      <protection locked="0"/>
    </xf>
    <xf numFmtId="0" fontId="1" fillId="0" borderId="10" xfId="0" applyFont="1" applyBorder="1" applyAlignment="1" applyProtection="1">
      <alignment horizontal="center" vertical="center"/>
      <protection locked="0"/>
    </xf>
    <xf numFmtId="165" fontId="1" fillId="0" borderId="52" xfId="0" applyNumberFormat="1" applyFont="1" applyBorder="1" applyAlignment="1" applyProtection="1">
      <alignment horizontal="center" vertical="center"/>
      <protection locked="0"/>
    </xf>
    <xf numFmtId="165" fontId="1" fillId="0" borderId="53" xfId="0" applyNumberFormat="1" applyFont="1" applyBorder="1" applyAlignment="1" applyProtection="1">
      <alignment horizontal="center" vertical="center"/>
      <protection locked="0"/>
    </xf>
    <xf numFmtId="165" fontId="1" fillId="0" borderId="10" xfId="0" applyNumberFormat="1" applyFont="1" applyBorder="1" applyAlignment="1" applyProtection="1">
      <alignment horizontal="center" vertical="center"/>
      <protection locked="0"/>
    </xf>
    <xf numFmtId="0" fontId="12" fillId="0" borderId="60" xfId="3" applyFont="1" applyBorder="1" applyAlignment="1">
      <alignment horizontal="center" vertical="center"/>
    </xf>
    <xf numFmtId="0" fontId="12" fillId="0" borderId="40" xfId="3" applyFont="1" applyBorder="1" applyAlignment="1">
      <alignment horizontal="center" vertical="center"/>
    </xf>
    <xf numFmtId="0" fontId="12" fillId="0" borderId="61" xfId="3" applyFont="1" applyBorder="1" applyAlignment="1">
      <alignment horizontal="center" vertical="center"/>
    </xf>
    <xf numFmtId="0" fontId="12" fillId="0" borderId="55" xfId="3" applyFont="1" applyBorder="1" applyAlignment="1">
      <alignment horizontal="center" vertical="center"/>
    </xf>
    <xf numFmtId="0" fontId="2" fillId="0" borderId="29" xfId="3" applyFont="1" applyBorder="1" applyAlignment="1">
      <alignment horizontal="left" vertical="center" wrapText="1"/>
    </xf>
    <xf numFmtId="0" fontId="2" fillId="0" borderId="61" xfId="3" applyFont="1" applyBorder="1" applyAlignment="1">
      <alignment horizontal="left" vertical="center" wrapText="1"/>
    </xf>
    <xf numFmtId="0" fontId="2" fillId="0" borderId="55" xfId="3" applyFont="1" applyBorder="1" applyAlignment="1">
      <alignment horizontal="left" vertical="center" wrapText="1"/>
    </xf>
    <xf numFmtId="0" fontId="13" fillId="0" borderId="74" xfId="3" applyFont="1" applyBorder="1" applyAlignment="1">
      <alignment horizontal="left" vertical="center" wrapText="1"/>
    </xf>
    <xf numFmtId="0" fontId="13" fillId="0" borderId="40" xfId="3" applyFont="1" applyBorder="1" applyAlignment="1">
      <alignment horizontal="left" vertical="center" wrapText="1"/>
    </xf>
    <xf numFmtId="0" fontId="13" fillId="0" borderId="73" xfId="3" applyFont="1" applyBorder="1" applyAlignment="1">
      <alignment horizontal="left" vertical="center" wrapText="1"/>
    </xf>
    <xf numFmtId="0" fontId="13" fillId="0" borderId="30" xfId="3" applyFont="1" applyBorder="1" applyAlignment="1">
      <alignment horizontal="left" vertical="center" wrapText="1"/>
    </xf>
    <xf numFmtId="0" fontId="10" fillId="0" borderId="61" xfId="0" applyFont="1" applyBorder="1" applyAlignment="1">
      <alignment horizontal="center" vertical="center" shrinkToFit="1"/>
    </xf>
    <xf numFmtId="0" fontId="18" fillId="0" borderId="60" xfId="3" applyFont="1" applyBorder="1" applyAlignment="1">
      <alignment horizontal="center" vertical="center"/>
    </xf>
    <xf numFmtId="0" fontId="18" fillId="0" borderId="40" xfId="3" applyFont="1" applyBorder="1" applyAlignment="1">
      <alignment horizontal="center" vertical="center"/>
    </xf>
    <xf numFmtId="0" fontId="23" fillId="2" borderId="35" xfId="2" applyFont="1" applyFill="1" applyBorder="1" applyAlignment="1">
      <alignment horizontal="center"/>
    </xf>
    <xf numFmtId="0" fontId="23" fillId="2" borderId="36" xfId="2" applyFont="1" applyFill="1" applyBorder="1" applyAlignment="1">
      <alignment horizontal="center"/>
    </xf>
    <xf numFmtId="0" fontId="23" fillId="2" borderId="39" xfId="2" applyFont="1" applyFill="1" applyBorder="1" applyAlignment="1">
      <alignment horizontal="center"/>
    </xf>
    <xf numFmtId="0" fontId="23" fillId="2" borderId="35" xfId="2" applyFont="1" applyFill="1" applyBorder="1" applyAlignment="1">
      <alignment horizontal="center" vertical="center"/>
    </xf>
    <xf numFmtId="0" fontId="23" fillId="2" borderId="36" xfId="2" applyFont="1" applyFill="1" applyBorder="1" applyAlignment="1">
      <alignment horizontal="center" vertical="center"/>
    </xf>
    <xf numFmtId="0" fontId="23" fillId="2" borderId="39" xfId="2" applyFont="1" applyFill="1" applyBorder="1" applyAlignment="1">
      <alignment horizontal="center" vertical="center"/>
    </xf>
    <xf numFmtId="0" fontId="21" fillId="9" borderId="35" xfId="3" applyFont="1" applyFill="1" applyBorder="1" applyAlignment="1">
      <alignment horizontal="center"/>
    </xf>
    <xf numFmtId="0" fontId="21" fillId="9" borderId="36" xfId="3" applyFont="1" applyFill="1" applyBorder="1" applyAlignment="1">
      <alignment horizontal="center"/>
    </xf>
    <xf numFmtId="0" fontId="21" fillId="9" borderId="39" xfId="3" applyFont="1" applyFill="1" applyBorder="1" applyAlignment="1">
      <alignment horizontal="center"/>
    </xf>
    <xf numFmtId="0" fontId="37" fillId="7" borderId="35" xfId="3" applyFont="1" applyFill="1" applyBorder="1" applyAlignment="1">
      <alignment horizontal="right"/>
    </xf>
    <xf numFmtId="0" fontId="37" fillId="7" borderId="36" xfId="3" applyFont="1" applyFill="1" applyBorder="1" applyAlignment="1">
      <alignment horizontal="right"/>
    </xf>
    <xf numFmtId="0" fontId="37" fillId="7" borderId="39" xfId="3" applyFont="1" applyFill="1" applyBorder="1" applyAlignment="1">
      <alignment horizontal="right"/>
    </xf>
    <xf numFmtId="0" fontId="23" fillId="4" borderId="35" xfId="2" applyFont="1" applyFill="1" applyBorder="1" applyAlignment="1">
      <alignment horizontal="center" vertical="center"/>
    </xf>
    <xf numFmtId="0" fontId="23" fillId="4" borderId="36" xfId="2" applyFont="1" applyFill="1" applyBorder="1" applyAlignment="1">
      <alignment horizontal="center" vertical="center"/>
    </xf>
    <xf numFmtId="0" fontId="23" fillId="4" borderId="39" xfId="2" applyFont="1" applyFill="1" applyBorder="1" applyAlignment="1">
      <alignment horizontal="center" vertical="center"/>
    </xf>
    <xf numFmtId="0" fontId="23" fillId="4" borderId="35" xfId="2" applyFont="1" applyFill="1" applyBorder="1" applyAlignment="1">
      <alignment horizontal="center"/>
    </xf>
    <xf numFmtId="0" fontId="23" fillId="4" borderId="36" xfId="2" applyFont="1" applyFill="1" applyBorder="1" applyAlignment="1">
      <alignment horizontal="center"/>
    </xf>
    <xf numFmtId="0" fontId="23" fillId="4" borderId="39" xfId="2" applyFont="1" applyFill="1" applyBorder="1" applyAlignment="1">
      <alignment horizontal="center"/>
    </xf>
    <xf numFmtId="0" fontId="21" fillId="9" borderId="35" xfId="2" applyFont="1" applyFill="1" applyBorder="1" applyAlignment="1">
      <alignment horizontal="center"/>
    </xf>
    <xf numFmtId="0" fontId="21" fillId="9" borderId="36" xfId="2" applyFont="1" applyFill="1" applyBorder="1" applyAlignment="1">
      <alignment horizontal="center"/>
    </xf>
    <xf numFmtId="0" fontId="21" fillId="9" borderId="39" xfId="2" applyFont="1" applyFill="1" applyBorder="1" applyAlignment="1">
      <alignment horizontal="center"/>
    </xf>
    <xf numFmtId="0" fontId="23" fillId="7" borderId="35" xfId="2" applyFont="1" applyFill="1" applyBorder="1" applyAlignment="1">
      <alignment horizontal="center"/>
    </xf>
    <xf numFmtId="0" fontId="23" fillId="7" borderId="36" xfId="2" applyFont="1" applyFill="1" applyBorder="1" applyAlignment="1">
      <alignment horizontal="center"/>
    </xf>
    <xf numFmtId="0" fontId="23" fillId="7" borderId="39" xfId="2" applyFont="1" applyFill="1" applyBorder="1" applyAlignment="1">
      <alignment horizontal="center"/>
    </xf>
    <xf numFmtId="0" fontId="23" fillId="4" borderId="36" xfId="2" applyFont="1" applyFill="1" applyBorder="1" applyAlignment="1">
      <alignment horizontal="left" vertical="center"/>
    </xf>
    <xf numFmtId="0" fontId="23" fillId="4" borderId="39" xfId="2" applyFont="1" applyFill="1" applyBorder="1" applyAlignment="1">
      <alignment horizontal="left" vertical="center"/>
    </xf>
    <xf numFmtId="0" fontId="23" fillId="4" borderId="35" xfId="2" applyFont="1" applyFill="1" applyBorder="1" applyAlignment="1">
      <alignment horizontal="right" vertical="center"/>
    </xf>
    <xf numFmtId="0" fontId="23" fillId="4" borderId="36" xfId="2" applyFont="1" applyFill="1" applyBorder="1" applyAlignment="1">
      <alignment horizontal="right" vertical="center"/>
    </xf>
    <xf numFmtId="1" fontId="8" fillId="5" borderId="15" xfId="0" applyNumberFormat="1" applyFont="1" applyFill="1" applyBorder="1" applyAlignment="1">
      <alignment horizontal="center" vertical="center" wrapText="1"/>
    </xf>
    <xf numFmtId="1" fontId="8" fillId="5" borderId="4" xfId="0" applyNumberFormat="1" applyFont="1" applyFill="1" applyBorder="1" applyAlignment="1">
      <alignment horizontal="center" vertical="center" wrapText="1"/>
    </xf>
    <xf numFmtId="1" fontId="8" fillId="5" borderId="30" xfId="0" applyNumberFormat="1" applyFont="1" applyFill="1" applyBorder="1" applyAlignment="1">
      <alignment horizontal="center" vertical="center" wrapText="1"/>
    </xf>
    <xf numFmtId="1" fontId="9" fillId="0" borderId="15" xfId="2" applyNumberFormat="1" applyFont="1" applyBorder="1" applyAlignment="1">
      <alignment horizontal="center" vertical="center" wrapText="1"/>
    </xf>
    <xf numFmtId="1" fontId="9" fillId="0" borderId="30" xfId="2" applyNumberFormat="1" applyFont="1" applyBorder="1" applyAlignment="1">
      <alignment horizontal="center" vertical="center" wrapText="1"/>
    </xf>
    <xf numFmtId="1" fontId="8" fillId="11" borderId="15" xfId="0" applyNumberFormat="1" applyFont="1" applyFill="1" applyBorder="1" applyAlignment="1">
      <alignment horizontal="center" vertical="center" wrapText="1"/>
    </xf>
    <xf numFmtId="1" fontId="8" fillId="11" borderId="4" xfId="0" applyNumberFormat="1" applyFont="1" applyFill="1" applyBorder="1" applyAlignment="1">
      <alignment horizontal="center" vertical="center" wrapText="1"/>
    </xf>
    <xf numFmtId="1" fontId="8" fillId="11" borderId="30" xfId="0" applyNumberFormat="1" applyFont="1" applyFill="1" applyBorder="1" applyAlignment="1">
      <alignment horizontal="center" vertical="center" wrapText="1"/>
    </xf>
    <xf numFmtId="1" fontId="29" fillId="0" borderId="35" xfId="0" applyNumberFormat="1" applyFont="1" applyBorder="1" applyAlignment="1">
      <alignment horizontal="center" vertical="center"/>
    </xf>
    <xf numFmtId="1" fontId="29" fillId="0" borderId="36" xfId="0" applyNumberFormat="1" applyFont="1" applyBorder="1" applyAlignment="1">
      <alignment horizontal="center" vertical="center"/>
    </xf>
    <xf numFmtId="1" fontId="41" fillId="15" borderId="5" xfId="0" applyNumberFormat="1" applyFont="1" applyFill="1" applyBorder="1" applyAlignment="1">
      <alignment horizontal="center" vertical="center"/>
    </xf>
    <xf numFmtId="1" fontId="41" fillId="15" borderId="42" xfId="0" applyNumberFormat="1" applyFont="1" applyFill="1" applyBorder="1" applyAlignment="1">
      <alignment horizontal="center" vertical="center"/>
    </xf>
    <xf numFmtId="1" fontId="41" fillId="15" borderId="37" xfId="0" applyNumberFormat="1" applyFont="1" applyFill="1" applyBorder="1" applyAlignment="1">
      <alignment horizontal="center" vertical="center"/>
    </xf>
    <xf numFmtId="1" fontId="41" fillId="15" borderId="78" xfId="0" applyNumberFormat="1" applyFont="1" applyFill="1" applyBorder="1" applyAlignment="1">
      <alignment horizontal="center" vertical="center"/>
    </xf>
    <xf numFmtId="0" fontId="2" fillId="15" borderId="60" xfId="0" applyFont="1" applyFill="1" applyBorder="1" applyAlignment="1">
      <alignment horizontal="center" vertical="center"/>
    </xf>
    <xf numFmtId="0" fontId="2" fillId="15" borderId="81" xfId="0" applyFont="1" applyFill="1" applyBorder="1" applyAlignment="1">
      <alignment horizontal="center" vertical="center"/>
    </xf>
    <xf numFmtId="0" fontId="2" fillId="15" borderId="14" xfId="0" applyFont="1" applyFill="1" applyBorder="1" applyAlignment="1">
      <alignment horizontal="center" vertical="center"/>
    </xf>
    <xf numFmtId="1" fontId="29" fillId="0" borderId="39" xfId="0" applyNumberFormat="1" applyFont="1" applyBorder="1" applyAlignment="1">
      <alignment horizontal="center" vertical="center"/>
    </xf>
    <xf numFmtId="1" fontId="41" fillId="17" borderId="5" xfId="0" applyNumberFormat="1" applyFont="1" applyFill="1" applyBorder="1" applyAlignment="1">
      <alignment horizontal="center" vertical="center"/>
    </xf>
    <xf numFmtId="1" fontId="41" fillId="17" borderId="42" xfId="0" applyNumberFormat="1" applyFont="1" applyFill="1" applyBorder="1" applyAlignment="1">
      <alignment horizontal="center" vertical="center"/>
    </xf>
    <xf numFmtId="1" fontId="41" fillId="17" borderId="37" xfId="0" applyNumberFormat="1" applyFont="1" applyFill="1" applyBorder="1" applyAlignment="1">
      <alignment horizontal="center" vertical="center"/>
    </xf>
    <xf numFmtId="1" fontId="41" fillId="17" borderId="78" xfId="0" applyNumberFormat="1" applyFont="1" applyFill="1" applyBorder="1" applyAlignment="1">
      <alignment horizontal="center" vertical="center"/>
    </xf>
    <xf numFmtId="0" fontId="2" fillId="17" borderId="60" xfId="0" applyFont="1" applyFill="1" applyBorder="1" applyAlignment="1">
      <alignment horizontal="center" vertical="center"/>
    </xf>
    <xf numFmtId="0" fontId="2" fillId="17" borderId="81" xfId="0" applyFont="1" applyFill="1" applyBorder="1" applyAlignment="1">
      <alignment horizontal="center" vertical="center"/>
    </xf>
    <xf numFmtId="0" fontId="2" fillId="17" borderId="14" xfId="0" applyFont="1" applyFill="1" applyBorder="1" applyAlignment="1">
      <alignment horizontal="center" vertical="center"/>
    </xf>
    <xf numFmtId="1" fontId="41" fillId="15" borderId="5" xfId="0" applyNumberFormat="1" applyFont="1" applyFill="1" applyBorder="1" applyAlignment="1">
      <alignment horizontal="center"/>
    </xf>
    <xf numFmtId="1" fontId="41" fillId="15" borderId="42" xfId="0" applyNumberFormat="1" applyFont="1" applyFill="1" applyBorder="1" applyAlignment="1">
      <alignment horizontal="center"/>
    </xf>
    <xf numFmtId="1" fontId="41" fillId="15" borderId="23" xfId="0" applyNumberFormat="1" applyFont="1" applyFill="1" applyBorder="1" applyAlignment="1">
      <alignment horizontal="center"/>
    </xf>
    <xf numFmtId="1" fontId="41" fillId="15" borderId="78" xfId="0" applyNumberFormat="1" applyFont="1" applyFill="1" applyBorder="1" applyAlignment="1">
      <alignment horizontal="center"/>
    </xf>
    <xf numFmtId="0" fontId="2" fillId="15" borderId="60" xfId="0" applyFont="1" applyFill="1" applyBorder="1" applyAlignment="1">
      <alignment horizontal="center"/>
    </xf>
    <xf numFmtId="0" fontId="2" fillId="15" borderId="81" xfId="0" applyFont="1" applyFill="1" applyBorder="1" applyAlignment="1">
      <alignment horizontal="center"/>
    </xf>
    <xf numFmtId="0" fontId="2" fillId="15" borderId="14" xfId="0" applyFont="1" applyFill="1" applyBorder="1" applyAlignment="1">
      <alignment horizontal="center"/>
    </xf>
    <xf numFmtId="1" fontId="41" fillId="17" borderId="23" xfId="0" applyNumberFormat="1" applyFont="1" applyFill="1" applyBorder="1" applyAlignment="1">
      <alignment horizontal="center" vertical="center"/>
    </xf>
  </cellXfs>
  <cellStyles count="6">
    <cellStyle name="Milliers" xfId="5" builtinId="3"/>
    <cellStyle name="Normal" xfId="0" builtinId="0"/>
    <cellStyle name="Normal 2" xfId="1" xr:uid="{00000000-0005-0000-0000-000002000000}"/>
    <cellStyle name="Normal 2 2" xfId="2" xr:uid="{00000000-0005-0000-0000-000003000000}"/>
    <cellStyle name="Normal 3" xfId="3" xr:uid="{00000000-0005-0000-0000-000004000000}"/>
    <cellStyle name="Normal 3 2" xfId="4" xr:uid="{00000000-0005-0000-0000-000005000000}"/>
  </cellStyles>
  <dxfs count="142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indexed="10"/>
      </font>
    </dxf>
    <dxf>
      <font>
        <color indexed="10"/>
      </font>
    </dxf>
    <dxf>
      <font>
        <color indexed="10"/>
      </font>
    </dxf>
    <dxf>
      <font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indexed="10"/>
      </font>
    </dxf>
    <dxf>
      <font>
        <b/>
        <i val="0"/>
        <condense val="0"/>
        <extend val="0"/>
      </font>
      <fill>
        <patternFill>
          <bgColor indexed="42"/>
        </patternFill>
      </fill>
    </dxf>
    <dxf>
      <font>
        <b/>
        <i val="0"/>
        <condense val="0"/>
        <extend val="0"/>
      </font>
      <fill>
        <patternFill>
          <bgColor indexed="42"/>
        </patternFill>
      </fill>
    </dxf>
    <dxf>
      <font>
        <b/>
        <i val="0"/>
        <condense val="0"/>
        <extend val="0"/>
      </font>
      <fill>
        <patternFill>
          <bgColor indexed="42"/>
        </patternFill>
      </fill>
    </dxf>
    <dxf>
      <font>
        <b/>
        <i val="0"/>
        <condense val="0"/>
        <extend val="0"/>
      </font>
      <fill>
        <patternFill>
          <bgColor indexed="42"/>
        </patternFill>
      </fill>
    </dxf>
    <dxf>
      <font>
        <b/>
        <i val="0"/>
        <condense val="0"/>
        <extend val="0"/>
      </font>
      <fill>
        <patternFill>
          <bgColor indexed="42"/>
        </patternFill>
      </fill>
    </dxf>
    <dxf>
      <font>
        <color auto="1"/>
        <name val="Cambria"/>
        <scheme val="none"/>
      </font>
      <fill>
        <patternFill>
          <bgColor rgb="FFFF0000"/>
        </patternFill>
      </fill>
    </dxf>
    <dxf>
      <font>
        <strike val="0"/>
        <color rgb="FFFF0000"/>
      </font>
      <fill>
        <patternFill patternType="none">
          <bgColor indexed="65"/>
        </patternFill>
      </fill>
    </dxf>
    <dxf>
      <font>
        <condense val="0"/>
        <extend val="0"/>
        <color indexed="10"/>
      </font>
    </dxf>
    <dxf>
      <font>
        <color rgb="FFFF0000"/>
      </font>
      <fill>
        <patternFill patternType="none">
          <bgColor indexed="65"/>
        </patternFill>
      </fill>
    </dxf>
    <dxf>
      <font>
        <color auto="1"/>
        <name val="Cambria"/>
        <scheme val="none"/>
      </font>
      <fill>
        <patternFill>
          <bgColor rgb="FFFF0000"/>
        </patternFill>
      </fill>
    </dxf>
    <dxf>
      <font>
        <strike val="0"/>
        <color rgb="FFFF0000"/>
      </font>
      <fill>
        <patternFill patternType="none">
          <bgColor indexed="65"/>
        </patternFill>
      </fill>
    </dxf>
    <dxf>
      <font>
        <condense val="0"/>
        <extend val="0"/>
        <color indexed="10"/>
      </font>
    </dxf>
    <dxf>
      <font>
        <color rgb="FFFF0000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>
          <bgColor indexed="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447675</xdr:colOff>
          <xdr:row>0</xdr:row>
          <xdr:rowOff>180975</xdr:rowOff>
        </xdr:from>
        <xdr:to>
          <xdr:col>13</xdr:col>
          <xdr:colOff>447675</xdr:colOff>
          <xdr:row>2</xdr:row>
          <xdr:rowOff>209550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Barre</a:t>
              </a:r>
            </a:p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réussie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571500</xdr:colOff>
          <xdr:row>0</xdr:row>
          <xdr:rowOff>171450</xdr:rowOff>
        </xdr:from>
        <xdr:to>
          <xdr:col>20</xdr:col>
          <xdr:colOff>19050</xdr:colOff>
          <xdr:row>2</xdr:row>
          <xdr:rowOff>209550</xdr:rowOff>
        </xdr:to>
        <xdr:sp macro="" textlink="">
          <xdr:nvSpPr>
            <xdr:cNvPr id="1125" name="Button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Tri par catégorie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352425</xdr:colOff>
          <xdr:row>0</xdr:row>
          <xdr:rowOff>171450</xdr:rowOff>
        </xdr:from>
        <xdr:to>
          <xdr:col>16</xdr:col>
          <xdr:colOff>390525</xdr:colOff>
          <xdr:row>2</xdr:row>
          <xdr:rowOff>209550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Ordre barre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285750</xdr:colOff>
          <xdr:row>0</xdr:row>
          <xdr:rowOff>180975</xdr:rowOff>
        </xdr:from>
        <xdr:to>
          <xdr:col>21</xdr:col>
          <xdr:colOff>352425</xdr:colOff>
          <xdr:row>2</xdr:row>
          <xdr:rowOff>209550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Feuille fédération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66675</xdr:colOff>
          <xdr:row>0</xdr:row>
          <xdr:rowOff>180975</xdr:rowOff>
        </xdr:from>
        <xdr:to>
          <xdr:col>15</xdr:col>
          <xdr:colOff>161925</xdr:colOff>
          <xdr:row>2</xdr:row>
          <xdr:rowOff>200025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Barre</a:t>
              </a:r>
            </a:p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ratée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60960</xdr:colOff>
      <xdr:row>0</xdr:row>
      <xdr:rowOff>45720</xdr:rowOff>
    </xdr:from>
    <xdr:to>
      <xdr:col>1</xdr:col>
      <xdr:colOff>2125028</xdr:colOff>
      <xdr:row>2</xdr:row>
      <xdr:rowOff>323850</xdr:rowOff>
    </xdr:to>
    <xdr:pic>
      <xdr:nvPicPr>
        <xdr:cNvPr id="1747" name="Image 8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" y="45720"/>
          <a:ext cx="27051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342900</xdr:colOff>
          <xdr:row>0</xdr:row>
          <xdr:rowOff>161925</xdr:rowOff>
        </xdr:from>
        <xdr:to>
          <xdr:col>21</xdr:col>
          <xdr:colOff>85725</xdr:colOff>
          <xdr:row>2</xdr:row>
          <xdr:rowOff>219075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Changement barre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15240</xdr:rowOff>
    </xdr:from>
    <xdr:to>
      <xdr:col>2</xdr:col>
      <xdr:colOff>243840</xdr:colOff>
      <xdr:row>2</xdr:row>
      <xdr:rowOff>228600</xdr:rowOff>
    </xdr:to>
    <xdr:pic>
      <xdr:nvPicPr>
        <xdr:cNvPr id="16784" name="Image 3">
          <a:extLst>
            <a:ext uri="{FF2B5EF4-FFF2-40B4-BE49-F238E27FC236}">
              <a16:creationId xmlns:a16="http://schemas.microsoft.com/office/drawing/2014/main" id="{00000000-0008-0000-0200-0000904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4820"/>
          <a:ext cx="1813560" cy="4495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13</xdr:col>
      <xdr:colOff>354753</xdr:colOff>
      <xdr:row>1</xdr:row>
      <xdr:rowOff>6773</xdr:rowOff>
    </xdr:from>
    <xdr:to>
      <xdr:col>15</xdr:col>
      <xdr:colOff>601133</xdr:colOff>
      <xdr:row>2</xdr:row>
      <xdr:rowOff>220133</xdr:rowOff>
    </xdr:to>
    <xdr:pic>
      <xdr:nvPicPr>
        <xdr:cNvPr id="16785" name="Image 4">
          <a:extLst>
            <a:ext uri="{FF2B5EF4-FFF2-40B4-BE49-F238E27FC236}">
              <a16:creationId xmlns:a16="http://schemas.microsoft.com/office/drawing/2014/main" id="{00000000-0008-0000-0200-0000914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90953" y="455506"/>
          <a:ext cx="1821180" cy="45042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</xdr:row>
      <xdr:rowOff>30480</xdr:rowOff>
    </xdr:from>
    <xdr:to>
      <xdr:col>2</xdr:col>
      <xdr:colOff>198120</xdr:colOff>
      <xdr:row>2</xdr:row>
      <xdr:rowOff>182880</xdr:rowOff>
    </xdr:to>
    <xdr:pic>
      <xdr:nvPicPr>
        <xdr:cNvPr id="16786" name="Image 3">
          <a:extLst>
            <a:ext uri="{FF2B5EF4-FFF2-40B4-BE49-F238E27FC236}">
              <a16:creationId xmlns:a16="http://schemas.microsoft.com/office/drawing/2014/main" id="{00000000-0008-0000-0200-0000924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0060"/>
          <a:ext cx="1767840" cy="388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</xdr:row>
      <xdr:rowOff>7620</xdr:rowOff>
    </xdr:from>
    <xdr:to>
      <xdr:col>2</xdr:col>
      <xdr:colOff>243840</xdr:colOff>
      <xdr:row>2</xdr:row>
      <xdr:rowOff>220980</xdr:rowOff>
    </xdr:to>
    <xdr:pic>
      <xdr:nvPicPr>
        <xdr:cNvPr id="16787" name="Image 3">
          <a:extLst>
            <a:ext uri="{FF2B5EF4-FFF2-40B4-BE49-F238E27FC236}">
              <a16:creationId xmlns:a16="http://schemas.microsoft.com/office/drawing/2014/main" id="{00000000-0008-0000-0200-0000934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7200"/>
          <a:ext cx="1813560" cy="4495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</xdr:colOff>
      <xdr:row>1</xdr:row>
      <xdr:rowOff>7620</xdr:rowOff>
    </xdr:from>
    <xdr:to>
      <xdr:col>2</xdr:col>
      <xdr:colOff>403860</xdr:colOff>
      <xdr:row>2</xdr:row>
      <xdr:rowOff>220980</xdr:rowOff>
    </xdr:to>
    <xdr:pic>
      <xdr:nvPicPr>
        <xdr:cNvPr id="15167" name="Image 3">
          <a:extLst>
            <a:ext uri="{FF2B5EF4-FFF2-40B4-BE49-F238E27FC236}">
              <a16:creationId xmlns:a16="http://schemas.microsoft.com/office/drawing/2014/main" id="{00000000-0008-0000-0300-00003F3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" y="457200"/>
          <a:ext cx="1813560" cy="4495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556260</xdr:colOff>
      <xdr:row>1</xdr:row>
      <xdr:rowOff>7620</xdr:rowOff>
    </xdr:from>
    <xdr:to>
      <xdr:col>12</xdr:col>
      <xdr:colOff>137160</xdr:colOff>
      <xdr:row>2</xdr:row>
      <xdr:rowOff>220980</xdr:rowOff>
    </xdr:to>
    <xdr:pic>
      <xdr:nvPicPr>
        <xdr:cNvPr id="15168" name="Image 4">
          <a:extLst>
            <a:ext uri="{FF2B5EF4-FFF2-40B4-BE49-F238E27FC236}">
              <a16:creationId xmlns:a16="http://schemas.microsoft.com/office/drawing/2014/main" id="{00000000-0008-0000-0300-0000403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2840" y="457200"/>
          <a:ext cx="1813560" cy="4495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12700</xdr:colOff>
      <xdr:row>3</xdr:row>
      <xdr:rowOff>82550</xdr:rowOff>
    </xdr:from>
    <xdr:to>
      <xdr:col>12</xdr:col>
      <xdr:colOff>533651</xdr:colOff>
      <xdr:row>35</xdr:row>
      <xdr:rowOff>63760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443700" y="577850"/>
          <a:ext cx="4877051" cy="50675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AI346"/>
  <sheetViews>
    <sheetView tabSelected="1" zoomScale="80" zoomScaleNormal="80" workbookViewId="0">
      <selection activeCell="N15" sqref="N15"/>
    </sheetView>
  </sheetViews>
  <sheetFormatPr baseColWidth="10" defaultColWidth="10.85546875" defaultRowHeight="12.75" x14ac:dyDescent="0.2"/>
  <cols>
    <col min="1" max="1" width="8.5703125" customWidth="1"/>
    <col min="2" max="2" width="46.42578125" customWidth="1"/>
    <col min="3" max="3" width="4.5703125" customWidth="1"/>
    <col min="4" max="4" width="6.5703125" style="2" customWidth="1"/>
    <col min="5" max="5" width="11" style="3" customWidth="1"/>
    <col min="6" max="6" width="22.5703125" customWidth="1"/>
    <col min="7" max="7" width="22.42578125" customWidth="1"/>
    <col min="8" max="8" width="7" style="15" customWidth="1"/>
    <col min="9" max="9" width="8.42578125" style="4" customWidth="1"/>
    <col min="10" max="10" width="9.5703125" customWidth="1"/>
    <col min="11" max="11" width="4.85546875" customWidth="1"/>
    <col min="12" max="18" width="8.5703125" customWidth="1"/>
    <col min="19" max="19" width="8.85546875" style="2" customWidth="1"/>
    <col min="20" max="20" width="12.5703125" style="2" customWidth="1"/>
    <col min="21" max="21" width="9.5703125" style="2" customWidth="1"/>
    <col min="22" max="22" width="13.7109375" style="2" customWidth="1"/>
    <col min="23" max="23" width="5.5703125" style="2" customWidth="1"/>
    <col min="24" max="24" width="10.5703125" style="14" customWidth="1"/>
    <col min="25" max="26" width="9.5703125" customWidth="1"/>
    <col min="27" max="27" width="10.5703125" customWidth="1"/>
    <col min="28" max="28" width="4.5703125" customWidth="1"/>
    <col min="29" max="30" width="9.5703125" customWidth="1"/>
    <col min="31" max="31" width="9.85546875" customWidth="1"/>
    <col min="32" max="32" width="10.85546875" customWidth="1"/>
    <col min="33" max="34" width="10.140625" customWidth="1"/>
    <col min="35" max="35" width="10.85546875" customWidth="1"/>
  </cols>
  <sheetData>
    <row r="1" spans="1:35" s="1" customFormat="1" ht="15" customHeight="1" x14ac:dyDescent="0.2">
      <c r="A1" s="467"/>
      <c r="B1" s="467"/>
      <c r="C1" s="467"/>
      <c r="F1" s="426" t="s">
        <v>429</v>
      </c>
      <c r="G1" s="427"/>
      <c r="H1" s="427"/>
      <c r="I1" s="427"/>
      <c r="J1" s="427"/>
      <c r="K1" s="427"/>
      <c r="L1" s="427"/>
      <c r="M1" s="427"/>
      <c r="N1" s="428"/>
      <c r="O1" s="18"/>
      <c r="P1" s="18"/>
      <c r="Q1" s="18"/>
      <c r="R1" s="18"/>
      <c r="S1" s="18"/>
      <c r="T1" s="5"/>
      <c r="U1" s="5"/>
      <c r="V1" s="5"/>
      <c r="W1" s="5"/>
      <c r="X1" s="12"/>
      <c r="Y1" s="5"/>
      <c r="Z1" s="412" t="b">
        <v>0</v>
      </c>
      <c r="AA1" s="5"/>
      <c r="AB1" s="5"/>
      <c r="AC1" s="5"/>
      <c r="AD1" s="5"/>
      <c r="AE1" s="5"/>
      <c r="AF1" s="5"/>
      <c r="AG1" s="5"/>
      <c r="AH1" s="5"/>
      <c r="AI1" s="5"/>
    </row>
    <row r="2" spans="1:35" s="1" customFormat="1" ht="18" customHeight="1" x14ac:dyDescent="0.2">
      <c r="A2" s="467"/>
      <c r="B2" s="467"/>
      <c r="C2" s="467"/>
      <c r="F2" s="429"/>
      <c r="G2" s="430"/>
      <c r="H2" s="430"/>
      <c r="I2" s="430"/>
      <c r="J2" s="430"/>
      <c r="K2" s="430"/>
      <c r="L2" s="430"/>
      <c r="M2" s="430"/>
      <c r="N2" s="431"/>
      <c r="O2" s="18"/>
      <c r="P2" s="18"/>
      <c r="Q2" s="18"/>
      <c r="R2" s="18"/>
      <c r="S2" s="18"/>
      <c r="T2" s="5"/>
      <c r="U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</row>
    <row r="3" spans="1:35" s="1" customFormat="1" ht="33" x14ac:dyDescent="0.2">
      <c r="A3" s="467"/>
      <c r="B3" s="467"/>
      <c r="C3" s="467"/>
      <c r="F3" s="429" t="s">
        <v>430</v>
      </c>
      <c r="G3" s="430"/>
      <c r="H3" s="430"/>
      <c r="I3" s="430"/>
      <c r="J3" s="430"/>
      <c r="K3" s="430"/>
      <c r="L3" s="430"/>
      <c r="M3" s="430"/>
      <c r="N3" s="431"/>
      <c r="O3" s="18"/>
      <c r="P3" s="18"/>
      <c r="Q3" s="18"/>
      <c r="R3" s="18"/>
      <c r="S3" s="18"/>
      <c r="T3" s="5"/>
      <c r="U3" s="5"/>
      <c r="V3" s="5"/>
      <c r="W3" s="5"/>
      <c r="X3" s="12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</row>
    <row r="4" spans="1:35" s="1" customFormat="1" ht="17.25" customHeight="1" thickBot="1" x14ac:dyDescent="0.25">
      <c r="C4" s="18"/>
      <c r="F4" s="434">
        <v>45818</v>
      </c>
      <c r="G4" s="435"/>
      <c r="H4" s="435"/>
      <c r="I4" s="435"/>
      <c r="J4" s="435"/>
      <c r="K4" s="435"/>
      <c r="L4" s="435"/>
      <c r="M4" s="435"/>
      <c r="N4" s="436"/>
      <c r="O4" s="18"/>
      <c r="P4" s="18"/>
      <c r="Q4" s="18"/>
      <c r="R4" s="18"/>
      <c r="S4" s="18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</row>
    <row r="5" spans="1:35" s="1" customFormat="1" ht="21" customHeight="1" thickBot="1" x14ac:dyDescent="0.25">
      <c r="A5" s="17" t="s">
        <v>65</v>
      </c>
      <c r="B5" s="464" t="s">
        <v>57</v>
      </c>
      <c r="C5" s="465"/>
      <c r="D5" s="466"/>
      <c r="E5" s="200">
        <v>100625</v>
      </c>
      <c r="F5" s="443" t="s">
        <v>432</v>
      </c>
      <c r="G5" s="443"/>
      <c r="H5" s="443"/>
      <c r="I5" s="443"/>
      <c r="J5" s="443"/>
      <c r="K5" s="443"/>
      <c r="L5" s="443"/>
      <c r="M5" s="443"/>
      <c r="N5" s="443"/>
      <c r="O5" s="432" t="s">
        <v>55</v>
      </c>
      <c r="P5" s="433"/>
      <c r="Q5" s="162" t="s">
        <v>433</v>
      </c>
      <c r="R5" s="162"/>
      <c r="S5" s="162"/>
      <c r="T5" s="162"/>
      <c r="U5" s="162"/>
      <c r="V5" s="163"/>
      <c r="X5" s="411"/>
    </row>
    <row r="6" spans="1:35" s="1" customFormat="1" ht="7.5" customHeight="1" x14ac:dyDescent="0.2">
      <c r="A6" s="200">
        <v>100625</v>
      </c>
      <c r="C6" s="9"/>
      <c r="D6" s="7"/>
      <c r="E6" s="6"/>
      <c r="H6" s="11"/>
      <c r="I6" s="8"/>
      <c r="J6" s="10"/>
      <c r="K6" s="10"/>
      <c r="S6" s="7"/>
      <c r="T6" s="7"/>
      <c r="U6" s="7"/>
      <c r="V6" s="7"/>
      <c r="W6" s="7"/>
      <c r="X6" s="13"/>
    </row>
    <row r="7" spans="1:35" s="16" customFormat="1" ht="15.75" customHeight="1" x14ac:dyDescent="0.2">
      <c r="A7" s="457" t="s">
        <v>37</v>
      </c>
      <c r="B7" s="472" t="s">
        <v>2</v>
      </c>
      <c r="C7" s="457" t="s">
        <v>34</v>
      </c>
      <c r="D7" s="461" t="s">
        <v>36</v>
      </c>
      <c r="E7" s="457" t="s">
        <v>107</v>
      </c>
      <c r="F7" s="470" t="s">
        <v>0</v>
      </c>
      <c r="G7" s="468" t="s">
        <v>1</v>
      </c>
      <c r="H7" s="457" t="s">
        <v>29</v>
      </c>
      <c r="I7" s="459" t="s">
        <v>25</v>
      </c>
      <c r="J7" s="446" t="s">
        <v>94</v>
      </c>
      <c r="K7" s="446" t="s">
        <v>35</v>
      </c>
      <c r="L7" s="19"/>
      <c r="M7" s="22" t="s">
        <v>32</v>
      </c>
      <c r="N7" s="36"/>
      <c r="O7" s="19"/>
      <c r="P7" s="35" t="s">
        <v>28</v>
      </c>
      <c r="Q7" s="36"/>
      <c r="R7" s="450" t="s">
        <v>33</v>
      </c>
      <c r="S7" s="451"/>
      <c r="T7" s="452"/>
      <c r="U7" s="457" t="s">
        <v>98</v>
      </c>
      <c r="V7" s="455" t="s">
        <v>97</v>
      </c>
      <c r="W7" s="448" t="s">
        <v>27</v>
      </c>
      <c r="X7" s="424" t="s">
        <v>100</v>
      </c>
      <c r="Y7" s="453" t="s">
        <v>108</v>
      </c>
      <c r="Z7" s="446" t="s">
        <v>99</v>
      </c>
      <c r="AA7" s="444" t="s">
        <v>64</v>
      </c>
      <c r="AB7" s="1"/>
      <c r="AC7" s="439" t="s">
        <v>105</v>
      </c>
      <c r="AD7" s="441" t="s">
        <v>106</v>
      </c>
      <c r="AE7" s="437" t="s">
        <v>110</v>
      </c>
      <c r="AF7" s="424" t="s">
        <v>111</v>
      </c>
      <c r="AG7" s="424" t="s">
        <v>112</v>
      </c>
      <c r="AH7" s="424" t="s">
        <v>113</v>
      </c>
      <c r="AI7" s="424" t="s">
        <v>114</v>
      </c>
    </row>
    <row r="8" spans="1:35" s="16" customFormat="1" ht="27.75" customHeight="1" x14ac:dyDescent="0.2">
      <c r="A8" s="458"/>
      <c r="B8" s="473"/>
      <c r="C8" s="463"/>
      <c r="D8" s="462"/>
      <c r="E8" s="458"/>
      <c r="F8" s="471"/>
      <c r="G8" s="469"/>
      <c r="H8" s="458"/>
      <c r="I8" s="460"/>
      <c r="J8" s="447"/>
      <c r="K8" s="447"/>
      <c r="L8" s="20">
        <v>1</v>
      </c>
      <c r="M8" s="21">
        <v>2</v>
      </c>
      <c r="N8" s="37">
        <v>3</v>
      </c>
      <c r="O8" s="20">
        <v>1</v>
      </c>
      <c r="P8" s="21">
        <v>2</v>
      </c>
      <c r="Q8" s="37">
        <v>3</v>
      </c>
      <c r="R8" s="20">
        <v>1</v>
      </c>
      <c r="S8" s="21">
        <v>2</v>
      </c>
      <c r="T8" s="21">
        <v>3</v>
      </c>
      <c r="U8" s="458"/>
      <c r="V8" s="456"/>
      <c r="W8" s="449"/>
      <c r="X8" s="425"/>
      <c r="Y8" s="454"/>
      <c r="Z8" s="447"/>
      <c r="AA8" s="445"/>
      <c r="AB8" s="1"/>
      <c r="AC8" s="440"/>
      <c r="AD8" s="442"/>
      <c r="AE8" s="438"/>
      <c r="AF8" s="425"/>
      <c r="AG8" s="425"/>
      <c r="AH8" s="425"/>
      <c r="AI8" s="425"/>
    </row>
    <row r="9" spans="1:35" s="1" customFormat="1" ht="18" customHeight="1" x14ac:dyDescent="0.2">
      <c r="A9" s="420" t="s">
        <v>478</v>
      </c>
      <c r="B9" s="421" t="s">
        <v>467</v>
      </c>
      <c r="C9" s="420" t="s">
        <v>468</v>
      </c>
      <c r="D9" s="422">
        <v>38553</v>
      </c>
      <c r="E9" s="176" t="str">
        <f ca="1">IF(EXACT(C9,"M"),calcul_age(AA9,D9),IF(EXACT(C9,"F"),calcul_age(AA9,D9),""))</f>
        <v>JR</v>
      </c>
      <c r="F9" s="413" t="s">
        <v>450</v>
      </c>
      <c r="G9" s="413" t="s">
        <v>451</v>
      </c>
      <c r="H9" s="161">
        <v>62.5</v>
      </c>
      <c r="I9" s="174" t="str">
        <f ca="1">IF(EXACT(C9,"M"),categorie_poids_homme(AA9,E9,H9),IF(EXACT(C9,"F"),categorie_poids_femme(AA9,E9,H9),""))</f>
        <v>66 Kg</v>
      </c>
      <c r="J9" s="175">
        <f>IF(H9="","",ROUNDUP(IF(EXACT(C9,"M"),IF(AA9="FA",indice_homme_FA(H9),indice_homme_PL(H9)),IF(EXACT(C9,"F"),IF(AA9="PL",indice_femme_PL(H9),indice_femme_FA(H9)),0)),6))</f>
        <v>0.16045899999999999</v>
      </c>
      <c r="K9" s="146"/>
      <c r="L9" s="414">
        <v>145</v>
      </c>
      <c r="M9" s="415">
        <v>150</v>
      </c>
      <c r="N9" s="416">
        <v>155</v>
      </c>
      <c r="O9" s="414">
        <v>132.5</v>
      </c>
      <c r="P9" s="417">
        <v>135</v>
      </c>
      <c r="Q9" s="418">
        <v>135</v>
      </c>
      <c r="R9" s="414">
        <v>175</v>
      </c>
      <c r="S9" s="415">
        <v>182.5</v>
      </c>
      <c r="T9" s="423">
        <v>145</v>
      </c>
      <c r="U9" s="177">
        <f ca="1">IF(AND(L9="",M9="",N9="",O9="",P9="",Q9="",R9="",S9="",T9=""),"",total_annonce(L9,M9,N9,O9,P9,Q9,R9,S9,T9))</f>
        <v>432.5</v>
      </c>
      <c r="V9" s="178">
        <f ca="1">IF(AND(L9="",M9="",N9="",O9="",P9="",Q9="",R9="",S9="",T9=""),"",total_réussi(L9,M9,N9,O9,P9,Q9,R9,S9,T9))</f>
        <v>470</v>
      </c>
      <c r="W9" s="199"/>
      <c r="X9" s="179">
        <f ca="1">IF(AA9=0,"",IF(AA9="FA",IF(H9="","",ROUNDUP(IF(EXACT(C9,"M"),indice_homme_FA(H9)*total_réussi(L9,M9,N9,O9,P9,Q9,R9,S9,T9),IF(EXACT(C9,"F"),indice_femme_FA(H9)*total_réussi(L9,M9,N9,O9,P9,Q9,R9,S9,T9),0)),6)),IF(H9="","",ROUNDUP(IF(EXACT(C9,"M"),indice_homme_PL(H9)*total_réussi(L9,M9,N9,O9,P9,Q9,R9,S9,T9),IF(EXACT(C9,"F"),indice_femme_PL(H9)*total_réussi(L9,M9,N9,O9,P9,Q9,R9,S9,T9),0)),6))))</f>
        <v>75.415492</v>
      </c>
      <c r="Y9" s="179" t="str">
        <f ca="1">IF(U9="","",IF(EXACT(C9,"M"),niv_homme(AA9,E9,H9,V9),IF(EXACT(C9,"F"),niv_femme(AA9,E9,H9,V9)," ")))</f>
        <v>R1</v>
      </c>
      <c r="Z9" s="180" t="str">
        <f ca="1">IF(U9="","",IF(EXACT(C9,"M"),niv_open_homme(AA9,E9,H9,V9),IF(EXACT(C9,"F"),niv_open_femme(AA9,E9,H9,V9)," ")))</f>
        <v>R2</v>
      </c>
      <c r="AA9" s="145" t="s">
        <v>155</v>
      </c>
      <c r="AC9" s="181" t="str">
        <f ca="1">IF(EXACT(C9,"M"),calcul_age_A1(AA9,D9),IF(EXACT(C9,"F"),calcul_age_A1(AA9,D9),""))</f>
        <v>JR</v>
      </c>
      <c r="AD9" s="179" t="str">
        <f ca="1">IF(V9="","",IF(EXACT(C9,"M"),niv_homme(AA9,AC9,H9,V9),IF(EXACT(C9,"F"),niv_femme(AA9,AC9,H9,V9))))</f>
        <v>R1</v>
      </c>
      <c r="AE9" s="161"/>
      <c r="AF9" s="161"/>
      <c r="AG9" s="161"/>
      <c r="AH9" s="161"/>
      <c r="AI9" s="161"/>
    </row>
    <row r="10" spans="1:35" s="1" customFormat="1" ht="18" customHeight="1" x14ac:dyDescent="0.2">
      <c r="A10" s="420" t="s">
        <v>466</v>
      </c>
      <c r="B10" s="421" t="s">
        <v>467</v>
      </c>
      <c r="C10" s="420" t="s">
        <v>468</v>
      </c>
      <c r="D10" s="422">
        <v>39164</v>
      </c>
      <c r="E10" s="176" t="str">
        <f ca="1">IF(EXACT(C10,"M"),calcul_age(AA10,D10),IF(EXACT(C10,"F"),calcul_age(AA10,D10),""))</f>
        <v>SJR</v>
      </c>
      <c r="F10" s="413" t="s">
        <v>434</v>
      </c>
      <c r="G10" s="413" t="s">
        <v>435</v>
      </c>
      <c r="H10" s="161">
        <v>65.150000000000006</v>
      </c>
      <c r="I10" s="174" t="str">
        <f ca="1">IF(EXACT(C10,"M"),categorie_poids_homme(AA10,E10,H10),IF(EXACT(C10,"F"),categorie_poids_femme(AA10,E10,H10),""))</f>
        <v>66 Kg</v>
      </c>
      <c r="J10" s="175">
        <f>IF(H10="","",ROUNDUP(IF(EXACT(C10,"M"),IF(AA10="FA",indice_homme_FA(H10),indice_homme_PL(H10)),IF(EXACT(C10,"F"),IF(AA10="PL",indice_femme_PL(H10),indice_femme_FA(H10)),0)),6))</f>
        <v>0.15695800000000001</v>
      </c>
      <c r="K10" s="146"/>
      <c r="L10" s="414">
        <v>137.5</v>
      </c>
      <c r="M10" s="415">
        <v>140</v>
      </c>
      <c r="N10" s="416">
        <v>145</v>
      </c>
      <c r="O10" s="414">
        <v>87.5</v>
      </c>
      <c r="P10" s="415">
        <v>90</v>
      </c>
      <c r="Q10" s="416">
        <v>95</v>
      </c>
      <c r="R10" s="414">
        <v>160</v>
      </c>
      <c r="S10" s="415">
        <v>172.5</v>
      </c>
      <c r="T10" s="415">
        <v>180</v>
      </c>
      <c r="U10" s="177">
        <f ca="1">IF(AND(L10="",M10="",N10="",O10="",P10="",Q10="",R10="",S10="",T10=""),"",total_annonce(L10,M10,N10,O10,P10,Q10,R10,S10,T10))</f>
        <v>420</v>
      </c>
      <c r="V10" s="178">
        <f ca="1">IF(AND(L10="",M10="",N10="",O10="",P10="",Q10="",R10="",S10="",T10=""),"",total_réussi(L10,M10,N10,O10,P10,Q10,R10,S10,T10))</f>
        <v>420</v>
      </c>
      <c r="W10" s="199"/>
      <c r="X10" s="179">
        <f ca="1">IF(AA10=0,"",IF(AA10="FA",IF(H10="","",ROUNDUP(IF(EXACT(C10,"M"),indice_homme_FA(H10)*total_réussi(L10,M10,N10,O10,P10,Q10,R10,S10,T10),IF(EXACT(C10,"F"),indice_femme_FA(H10)*total_réussi(L10,M10,N10,O10,P10,Q10,R10,S10,T10),0)),6)),IF(H10="","",ROUNDUP(IF(EXACT(C10,"M"),indice_homme_PL(H10)*total_réussi(L10,M10,N10,O10,P10,Q10,R10,S10,T10),IF(EXACT(C10,"F"),indice_femme_PL(H10)*total_réussi(L10,M10,N10,O10,P10,Q10,R10,S10,T10),0)),6))))</f>
        <v>65.922215999999992</v>
      </c>
      <c r="Y10" s="179" t="str">
        <f ca="1">IF(U10="","",IF(EXACT(C10,"M"),niv_homme(AA10,E10,H10,V10),IF(EXACT(C10,"F"),niv_femme(AA10,E10,H10,V10)," ")))</f>
        <v>N2</v>
      </c>
      <c r="Z10" s="180" t="str">
        <f ca="1">IF(U10="","",IF(EXACT(C10,"M"),niv_open_homme(AA10,E10,H10,V10),IF(EXACT(C10,"F"),niv_open_femme(AA10,E10,H10,V10)," ")))</f>
        <v>R3</v>
      </c>
      <c r="AA10" s="145" t="s">
        <v>155</v>
      </c>
      <c r="AC10" s="181" t="str">
        <f ca="1">IF(EXACT(C10,"M"),calcul_age_A1(AA10,D10),IF(EXACT(C10,"F"),calcul_age_A1(AA10,D10),""))</f>
        <v>JR</v>
      </c>
      <c r="AD10" s="179" t="str">
        <f ca="1">IF(V10="","",IF(EXACT(C10,"M"),niv_homme(AA10,AC10,H10,V10),IF(EXACT(C10,"F"),niv_femme(AA10,AC10,H10,V10))))</f>
        <v>R1</v>
      </c>
      <c r="AE10" s="161"/>
      <c r="AF10" s="161"/>
      <c r="AG10" s="161"/>
      <c r="AH10" s="161"/>
      <c r="AI10" s="161"/>
    </row>
    <row r="11" spans="1:35" s="1" customFormat="1" ht="18" customHeight="1" x14ac:dyDescent="0.2">
      <c r="A11" s="191">
        <v>59283</v>
      </c>
      <c r="B11" s="421" t="s">
        <v>467</v>
      </c>
      <c r="C11" s="420" t="s">
        <v>468</v>
      </c>
      <c r="D11" s="422">
        <v>39415</v>
      </c>
      <c r="E11" s="176" t="str">
        <f ca="1">IF(EXACT(C11,"M"),calcul_age(AA11,D11),IF(EXACT(C11,"F"),calcul_age(AA11,D11),""))</f>
        <v>SJR</v>
      </c>
      <c r="F11" s="413" t="s">
        <v>436</v>
      </c>
      <c r="G11" s="413" t="s">
        <v>437</v>
      </c>
      <c r="H11" s="161">
        <v>65.400000000000006</v>
      </c>
      <c r="I11" s="174" t="str">
        <f ca="1">IF(EXACT(C11,"M"),categorie_poids_homme(AA11,E11,H11),IF(EXACT(C11,"F"),categorie_poids_femme(AA11,E11,H11),""))</f>
        <v>66 Kg</v>
      </c>
      <c r="J11" s="175">
        <f>IF(H11="","",ROUNDUP(IF(EXACT(C11,"M"),IF(AA11="FA",indice_homme_FA(H11),indice_homme_PL(H11)),IF(EXACT(C11,"F"),IF(AA11="PL",indice_femme_PL(H11),indice_femme_FA(H11)),0)),6))</f>
        <v>0.15664</v>
      </c>
      <c r="K11" s="146"/>
      <c r="L11" s="414">
        <v>137.5</v>
      </c>
      <c r="M11" s="417">
        <v>142.5</v>
      </c>
      <c r="N11" s="418">
        <v>142.5</v>
      </c>
      <c r="O11" s="414">
        <v>90</v>
      </c>
      <c r="P11" s="415">
        <v>95</v>
      </c>
      <c r="Q11" s="418">
        <v>97.5</v>
      </c>
      <c r="R11" s="414">
        <v>175</v>
      </c>
      <c r="S11" s="417">
        <v>185</v>
      </c>
      <c r="T11" s="415">
        <v>185</v>
      </c>
      <c r="U11" s="177">
        <f ca="1">IF(AND(L11="",M11="",N11="",O11="",P11="",Q11="",R11="",S11="",T11=""),"",total_annonce(L11,M11,N11,O11,P11,Q11,R11,S11,T11))</f>
        <v>417.5</v>
      </c>
      <c r="V11" s="178">
        <f ca="1">IF(AND(L11="",M11="",N11="",O11="",P11="",Q11="",R11="",S11="",T11=""),"",total_réussi(L11,M11,N11,O11,P11,Q11,R11,S11,T11))</f>
        <v>417.5</v>
      </c>
      <c r="W11" s="199"/>
      <c r="X11" s="179">
        <f ca="1">IF(AA11=0,"",IF(AA11="FA",IF(H11="","",ROUNDUP(IF(EXACT(C11,"M"),indice_homme_FA(H11)*total_réussi(L11,M11,N11,O11,P11,Q11,R11,S11,T11),IF(EXACT(C11,"F"),indice_femme_FA(H11)*total_réussi(L11,M11,N11,O11,P11,Q11,R11,S11,T11),0)),6)),IF(H11="","",ROUNDUP(IF(EXACT(C11,"M"),indice_homme_PL(H11)*total_réussi(L11,M11,N11,O11,P11,Q11,R11,S11,T11),IF(EXACT(C11,"F"),indice_femme_PL(H11)*total_réussi(L11,M11,N11,O11,P11,Q11,R11,S11,T11),0)),6))))</f>
        <v>65.39700599999999</v>
      </c>
      <c r="Y11" s="179" t="str">
        <f ca="1">IF(U11="","",IF(EXACT(C11,"M"),niv_homme(AA11,E11,H11,V11),IF(EXACT(C11,"F"),niv_femme(AA11,E11,H11,V11)," ")))</f>
        <v>N2</v>
      </c>
      <c r="Z11" s="180" t="str">
        <f ca="1">IF(U11="","",IF(EXACT(C11,"M"),niv_open_homme(AA11,E11,H11,V11),IF(EXACT(C11,"F"),niv_open_femme(AA11,E11,H11,V11)," ")))</f>
        <v>R3</v>
      </c>
      <c r="AA11" s="145" t="s">
        <v>155</v>
      </c>
      <c r="AC11" s="181" t="str">
        <f ca="1">IF(EXACT(C11,"M"),calcul_age_A1(AA11,D11),IF(EXACT(C11,"F"),calcul_age_A1(AA11,D11),""))</f>
        <v>JR</v>
      </c>
      <c r="AD11" s="179" t="str">
        <f ca="1">IF(V11="","",IF(EXACT(C11,"M"),niv_homme(AA11,AC11,H11,V11),IF(EXACT(C11,"F"),niv_femme(AA11,AC11,H11,V11))))</f>
        <v>R1</v>
      </c>
      <c r="AE11" s="161"/>
      <c r="AF11" s="161"/>
      <c r="AG11" s="161"/>
      <c r="AH11" s="161"/>
      <c r="AI11" s="161"/>
    </row>
    <row r="12" spans="1:35" s="1" customFormat="1" ht="18" customHeight="1" x14ac:dyDescent="0.2">
      <c r="A12" s="420" t="s">
        <v>469</v>
      </c>
      <c r="B12" s="421" t="s">
        <v>467</v>
      </c>
      <c r="C12" s="420" t="s">
        <v>468</v>
      </c>
      <c r="D12" s="422">
        <v>39419</v>
      </c>
      <c r="E12" s="176" t="str">
        <f ca="1">IF(EXACT(C12,"M"),calcul_age(AA12,D12),IF(EXACT(C12,"F"),calcul_age(AA12,D12),""))</f>
        <v>SJR</v>
      </c>
      <c r="F12" s="413" t="s">
        <v>438</v>
      </c>
      <c r="G12" s="413" t="s">
        <v>439</v>
      </c>
      <c r="H12" s="161">
        <v>72.599999999999994</v>
      </c>
      <c r="I12" s="174" t="str">
        <f ca="1">IF(EXACT(C12,"M"),categorie_poids_homme(AA12,E12,H12),IF(EXACT(C12,"F"),categorie_poids_femme(AA12,E12,H12),""))</f>
        <v>74 Kg</v>
      </c>
      <c r="J12" s="175">
        <f>IF(H12="","",ROUNDUP(IF(EXACT(C12,"M"),IF(AA12="FA",indice_homme_FA(H12),indice_homme_PL(H12)),IF(EXACT(C12,"F"),IF(AA12="PL",indice_femme_PL(H12),indice_femme_FA(H12)),0)),6))</f>
        <v>0.14827499999999999</v>
      </c>
      <c r="K12" s="146"/>
      <c r="L12" s="414">
        <v>167.5</v>
      </c>
      <c r="M12" s="415">
        <v>180</v>
      </c>
      <c r="N12" s="416">
        <v>190</v>
      </c>
      <c r="O12" s="414">
        <v>107.5</v>
      </c>
      <c r="P12" s="415">
        <v>112.5</v>
      </c>
      <c r="Q12" s="417">
        <v>120</v>
      </c>
      <c r="R12" s="419">
        <v>195</v>
      </c>
      <c r="S12" s="415">
        <v>212.5</v>
      </c>
      <c r="T12" s="423">
        <v>200</v>
      </c>
      <c r="U12" s="177">
        <f ca="1">IF(AND(L12="",M12="",N12="",O12="",P12="",Q12="",R12="",S12="",T12=""),"",total_annonce(L12,M12,N12,O12,P12,Q12,R12,S12,T12))</f>
        <v>502.5</v>
      </c>
      <c r="V12" s="178">
        <f ca="1">IF(AND(L12="",M12="",N12="",O12="",P12="",Q12="",R12="",S12="",T12=""),"",total_réussi(L12,M12,N12,O12,P12,Q12,R12,S12,T12))</f>
        <v>515</v>
      </c>
      <c r="W12" s="199"/>
      <c r="X12" s="179">
        <f ca="1">IF(AA12=0,"",IF(AA12="FA",IF(H12="","",ROUNDUP(IF(EXACT(C12,"M"),indice_homme_FA(H12)*total_réussi(L12,M12,N12,O12,P12,Q12,R12,S12,T12),IF(EXACT(C12,"F"),indice_femme_FA(H12)*total_réussi(L12,M12,N12,O12,P12,Q12,R12,S12,T12),0)),6)),IF(H12="","",ROUNDUP(IF(EXACT(C12,"M"),indice_homme_PL(H12)*total_réussi(L12,M12,N12,O12,P12,Q12,R12,S12,T12),IF(EXACT(C12,"F"),indice_femme_PL(H12)*total_réussi(L12,M12,N12,O12,P12,Q12,R12,S12,T12),0)),6))))</f>
        <v>76.361529000000004</v>
      </c>
      <c r="Y12" s="179" t="str">
        <f ca="1">IF(U12="","",IF(EXACT(C12,"M"),niv_homme(AA12,E12,H12,V12),IF(EXACT(C12,"F"),niv_femme(AA12,E12,H12,V12)," ")))</f>
        <v>N1</v>
      </c>
      <c r="Z12" s="180" t="str">
        <f ca="1">IF(U12="","",IF(EXACT(C12,"M"),niv_open_homme(AA12,E12,H12,V12),IF(EXACT(C12,"F"),niv_open_femme(AA12,E12,H12,V12)," ")))</f>
        <v>R3</v>
      </c>
      <c r="AA12" s="145" t="s">
        <v>155</v>
      </c>
      <c r="AC12" s="181" t="str">
        <f ca="1">IF(EXACT(C12,"M"),calcul_age_A1(AA12,D12),IF(EXACT(C12,"F"),calcul_age_A1(AA12,D12),""))</f>
        <v>JR</v>
      </c>
      <c r="AD12" s="179" t="str">
        <f ca="1">IF(V12="","",IF(EXACT(C12,"M"),niv_homme(AA12,AC12,H12,V12),IF(EXACT(C12,"F"),niv_femme(AA12,AC12,H12,V12))))</f>
        <v>R1</v>
      </c>
      <c r="AE12" s="161"/>
      <c r="AF12" s="161"/>
      <c r="AG12" s="161"/>
      <c r="AH12" s="161"/>
      <c r="AI12" s="161"/>
    </row>
    <row r="13" spans="1:35" s="1" customFormat="1" ht="18" customHeight="1" x14ac:dyDescent="0.2">
      <c r="A13" s="420" t="s">
        <v>477</v>
      </c>
      <c r="B13" s="421" t="s">
        <v>476</v>
      </c>
      <c r="C13" s="420" t="s">
        <v>473</v>
      </c>
      <c r="D13" s="422">
        <v>38026</v>
      </c>
      <c r="E13" s="176" t="str">
        <f ca="1">IF(EXACT(C13,"M"),calcul_age(AA13,D13),IF(EXACT(C13,"F"),calcul_age(AA13,D13),""))</f>
        <v>JR</v>
      </c>
      <c r="F13" s="413" t="s">
        <v>448</v>
      </c>
      <c r="G13" s="413" t="s">
        <v>449</v>
      </c>
      <c r="H13" s="161">
        <v>75.2</v>
      </c>
      <c r="I13" s="174" t="str">
        <f ca="1">IF(EXACT(C13,"M"),categorie_poids_homme(AA13,E13,H13),IF(EXACT(C13,"F"),categorie_poids_femme(AA13,E13,H13),""))</f>
        <v>76 Kg</v>
      </c>
      <c r="J13" s="175">
        <f>IF(H13="","",ROUNDUP(IF(EXACT(C13,"M"),IF(AA13="FA",indice_homme_FA(H13),indice_homme_PL(H13)),IF(EXACT(C13,"F"),IF(AA13="PL",indice_femme_PL(H13),indice_femme_FA(H13)),0)),6))</f>
        <v>0.19815099999999999</v>
      </c>
      <c r="K13" s="146"/>
      <c r="L13" s="414">
        <v>145</v>
      </c>
      <c r="M13" s="415">
        <v>153</v>
      </c>
      <c r="N13" s="416">
        <v>160</v>
      </c>
      <c r="O13" s="414">
        <v>60.5</v>
      </c>
      <c r="P13" s="417">
        <v>65</v>
      </c>
      <c r="Q13" s="416">
        <v>65.5</v>
      </c>
      <c r="R13" s="414">
        <v>145</v>
      </c>
      <c r="S13" s="415">
        <v>153</v>
      </c>
      <c r="T13" s="423">
        <v>210</v>
      </c>
      <c r="U13" s="177">
        <f ca="1">IF(AND(L13="",M13="",N13="",O13="",P13="",Q13="",R13="",S13="",T13=""),"",total_annonce(L13,M13,N13,O13,P13,Q13,R13,S13,T13))</f>
        <v>435.5</v>
      </c>
      <c r="V13" s="178">
        <f ca="1">IF(AND(L13="",M13="",N13="",O13="",P13="",Q13="",R13="",S13="",T13=""),"",total_réussi(L13,M13,N13,O13,P13,Q13,R13,S13,T13))</f>
        <v>378.5</v>
      </c>
      <c r="W13" s="199"/>
      <c r="X13" s="179">
        <f ca="1">IF(AA13=0,"",IF(AA13="FA",IF(H13="","",ROUNDUP(IF(EXACT(C13,"M"),indice_homme_FA(H13)*total_réussi(L13,M13,N13,O13,P13,Q13,R13,S13,T13),IF(EXACT(C13,"F"),indice_femme_FA(H13)*total_réussi(L13,M13,N13,O13,P13,Q13,R13,S13,T13),0)),6)),IF(H13="","",ROUNDUP(IF(EXACT(C13,"M"),indice_homme_PL(H13)*total_réussi(L13,M13,N13,O13,P13,Q13,R13,S13,T13),IF(EXACT(C13,"F"),indice_femme_PL(H13)*total_réussi(L13,M13,N13,O13,P13,Q13,R13,S13,T13),0)),6))))</f>
        <v>75.000073999999998</v>
      </c>
      <c r="Y13" s="179" t="str">
        <f ca="1">IF(U13="","",IF(EXACT(C13,"M"),niv_homme(AA13,E13,H13,V13),IF(EXACT(C13,"F"),niv_femme(AA13,E13,H13,V13)," ")))</f>
        <v>N2</v>
      </c>
      <c r="Z13" s="180" t="str">
        <f ca="1">IF(U13="","",IF(EXACT(C13,"M"),niv_open_homme(AA13,E13,H13,V13),IF(EXACT(C13,"F"),niv_open_femme(AA13,E13,H13,V13)," ")))</f>
        <v>R1</v>
      </c>
      <c r="AA13" s="145" t="s">
        <v>155</v>
      </c>
      <c r="AC13" s="181" t="str">
        <f ca="1">IF(EXACT(C13,"M"),calcul_age_A1(AA13,D13),IF(EXACT(C13,"F"),calcul_age_A1(AA13,D13),""))</f>
        <v>JR</v>
      </c>
      <c r="AD13" s="179" t="str">
        <f ca="1">IF(V13="","",IF(EXACT(C13,"M"),niv_homme(AA13,AC13,H13,V13),IF(EXACT(C13,"F"),niv_femme(AA13,AC13,H13,V13))))</f>
        <v>N2</v>
      </c>
      <c r="AE13" s="161"/>
      <c r="AF13" s="161"/>
      <c r="AG13" s="161"/>
      <c r="AH13" s="161"/>
      <c r="AI13" s="161"/>
    </row>
    <row r="14" spans="1:35" s="1" customFormat="1" ht="18" customHeight="1" x14ac:dyDescent="0.2">
      <c r="A14" s="420" t="s">
        <v>470</v>
      </c>
      <c r="B14" s="421" t="s">
        <v>471</v>
      </c>
      <c r="C14" s="420" t="s">
        <v>468</v>
      </c>
      <c r="D14" s="422">
        <v>39117</v>
      </c>
      <c r="E14" s="176" t="str">
        <f ca="1">IF(EXACT(C14,"M"),calcul_age(AA14,D14),IF(EXACT(C14,"F"),calcul_age(AA14,D14),""))</f>
        <v>SJR</v>
      </c>
      <c r="F14" s="413" t="s">
        <v>440</v>
      </c>
      <c r="G14" s="413" t="s">
        <v>441</v>
      </c>
      <c r="H14" s="161">
        <v>71.599999999999994</v>
      </c>
      <c r="I14" s="174" t="str">
        <f ca="1">IF(EXACT(C14,"M"),categorie_poids_homme(AA14,E14,H14),IF(EXACT(C14,"F"),categorie_poids_femme(AA14,E14,H14),""))</f>
        <v>74 Kg</v>
      </c>
      <c r="J14" s="175">
        <f>IF(H14="","",ROUNDUP(IF(EXACT(C14,"M"),IF(AA14="FA",indice_homme_FA(H14),indice_homme_PL(H14)),IF(EXACT(C14,"F"),IF(AA14="PL",indice_femme_PL(H14),indice_femme_FA(H14)),0)),6))</f>
        <v>0.14935200000000001</v>
      </c>
      <c r="K14" s="146"/>
      <c r="L14" s="414">
        <v>165</v>
      </c>
      <c r="M14" s="417">
        <v>172.5</v>
      </c>
      <c r="N14" s="416">
        <v>175</v>
      </c>
      <c r="O14" s="419">
        <v>102.5</v>
      </c>
      <c r="P14" s="415">
        <v>107.5</v>
      </c>
      <c r="Q14" s="416">
        <v>112.5</v>
      </c>
      <c r="R14" s="414">
        <v>200</v>
      </c>
      <c r="S14" s="417">
        <v>215</v>
      </c>
      <c r="T14" s="423">
        <v>215</v>
      </c>
      <c r="U14" s="177">
        <f ca="1">IF(AND(L14="",M14="",N14="",O14="",P14="",Q14="",R14="",S14="",T14=""),"",total_annonce(L14,M14,N14,O14,P14,Q14,R14,S14,T14))</f>
        <v>502.5</v>
      </c>
      <c r="V14" s="178">
        <f ca="1">IF(AND(L14="",M14="",N14="",O14="",P14="",Q14="",R14="",S14="",T14=""),"",total_réussi(L14,M14,N14,O14,P14,Q14,R14,S14,T14))</f>
        <v>487.5</v>
      </c>
      <c r="W14" s="199"/>
      <c r="X14" s="179">
        <f ca="1">IF(AA14=0,"",IF(AA14="FA",IF(H14="","",ROUNDUP(IF(EXACT(C14,"M"),indice_homme_FA(H14)*total_réussi(L14,M14,N14,O14,P14,Q14,R14,S14,T14),IF(EXACT(C14,"F"),indice_femme_FA(H14)*total_réussi(L14,M14,N14,O14,P14,Q14,R14,S14,T14),0)),6)),IF(H14="","",ROUNDUP(IF(EXACT(C14,"M"),indice_homme_PL(H14)*total_réussi(L14,M14,N14,O14,P14,Q14,R14,S14,T14),IF(EXACT(C14,"F"),indice_femme_PL(H14)*total_réussi(L14,M14,N14,O14,P14,Q14,R14,S14,T14),0)),6))))</f>
        <v>72.808685999999994</v>
      </c>
      <c r="Y14" s="179" t="str">
        <f ca="1">IF(U14="","",IF(EXACT(C14,"M"),niv_homme(AA14,E14,H14,V14),IF(EXACT(C14,"F"),niv_femme(AA14,E14,H14,V14)," ")))</f>
        <v>N2</v>
      </c>
      <c r="Z14" s="180" t="str">
        <f ca="1">IF(U14="","",IF(EXACT(C14,"M"),niv_open_homme(AA14,E14,H14,V14),IF(EXACT(C14,"F"),niv_open_femme(AA14,E14,H14,V14)," ")))</f>
        <v>R3</v>
      </c>
      <c r="AA14" s="145" t="s">
        <v>155</v>
      </c>
      <c r="AC14" s="181" t="str">
        <f ca="1">IF(EXACT(C14,"M"),calcul_age_A1(AA14,D14),IF(EXACT(C14,"F"),calcul_age_A1(AA14,D14),""))</f>
        <v>JR</v>
      </c>
      <c r="AD14" s="179" t="str">
        <f ca="1">IF(V14="","",IF(EXACT(C14,"M"),niv_homme(AA14,AC14,H14,V14),IF(EXACT(C14,"F"),niv_femme(AA14,AC14,H14,V14))))</f>
        <v>R1</v>
      </c>
      <c r="AE14" s="161"/>
      <c r="AF14" s="161"/>
      <c r="AG14" s="161"/>
      <c r="AH14" s="161"/>
      <c r="AI14" s="161"/>
    </row>
    <row r="15" spans="1:35" s="1" customFormat="1" ht="18" customHeight="1" x14ac:dyDescent="0.2">
      <c r="A15" s="420" t="s">
        <v>472</v>
      </c>
      <c r="B15" s="421" t="s">
        <v>467</v>
      </c>
      <c r="C15" s="420" t="s">
        <v>473</v>
      </c>
      <c r="D15" s="422">
        <v>37519</v>
      </c>
      <c r="E15" s="176" t="str">
        <f ca="1">IF(EXACT(C15,"M"),calcul_age(AA15,D15),IF(EXACT(C15,"F"),calcul_age(AA15,D15),""))</f>
        <v>JR</v>
      </c>
      <c r="F15" s="413" t="s">
        <v>442</v>
      </c>
      <c r="G15" s="413" t="s">
        <v>443</v>
      </c>
      <c r="H15" s="161">
        <v>55.95</v>
      </c>
      <c r="I15" s="174" t="str">
        <f ca="1">IF(EXACT(C15,"M"),categorie_poids_homme(AA15,E15,H15),IF(EXACT(C15,"F"),categorie_poids_femme(AA15,E15,H15),""))</f>
        <v>57 Kg</v>
      </c>
      <c r="J15" s="175">
        <f>IF(H15="","",ROUNDUP(IF(EXACT(C15,"M"),IF(AA15="FA",indice_homme_FA(H15),indice_homme_PL(H15)),IF(EXACT(C15,"F"),IF(AA15="PL",indice_femme_PL(H15),indice_femme_FA(H15)),0)),6))</f>
        <v>0.23790600000000001</v>
      </c>
      <c r="K15" s="146"/>
      <c r="L15" s="414">
        <v>125</v>
      </c>
      <c r="M15" s="417">
        <v>130</v>
      </c>
      <c r="N15" s="423">
        <v>300</v>
      </c>
      <c r="O15" s="414">
        <v>75</v>
      </c>
      <c r="P15" s="417">
        <v>80</v>
      </c>
      <c r="Q15" s="418">
        <v>80</v>
      </c>
      <c r="R15" s="414">
        <v>160</v>
      </c>
      <c r="S15" s="417">
        <v>165</v>
      </c>
      <c r="T15" s="423">
        <v>220</v>
      </c>
      <c r="U15" s="177">
        <f ca="1">IF(AND(L15="",M15="",N15="",O15="",P15="",Q15="",R15="",S15="",T15=""),"",total_annonce(L15,M15,N15,O15,P15,Q15,R15,S15,T15))</f>
        <v>595</v>
      </c>
      <c r="V15" s="178">
        <f ca="1">IF(AND(L15="",M15="",N15="",O15="",P15="",Q15="",R15="",S15="",T15=""),"",total_réussi(L15,M15,N15,O15,P15,Q15,R15,S15,T15))</f>
        <v>360</v>
      </c>
      <c r="W15" s="199"/>
      <c r="X15" s="179">
        <f ca="1">IF(AA15=0,"",IF(AA15="FA",IF(H15="","",ROUNDUP(IF(EXACT(C15,"M"),indice_homme_FA(H15)*total_réussi(L15,M15,N15,O15,P15,Q15,R15,S15,T15),IF(EXACT(C15,"F"),indice_femme_FA(H15)*total_réussi(L15,M15,N15,O15,P15,Q15,R15,S15,T15),0)),6)),IF(H15="","",ROUNDUP(IF(EXACT(C15,"M"),indice_homme_PL(H15)*total_réussi(L15,M15,N15,O15,P15,Q15,R15,S15,T15),IF(EXACT(C15,"F"),indice_femme_PL(H15)*total_réussi(L15,M15,N15,O15,P15,Q15,R15,S15,T15),0)),6))))</f>
        <v>85.645828999999992</v>
      </c>
      <c r="Y15" s="179" t="str">
        <f ca="1">IF(U15="","",IF(EXACT(C15,"M"),niv_homme(AA15,E15,H15,V15),IF(EXACT(C15,"F"),niv_femme(AA15,E15,H15,V15)," ")))</f>
        <v>N2</v>
      </c>
      <c r="Z15" s="180" t="str">
        <f ca="1">IF(U15="","",IF(EXACT(C15,"M"),niv_open_homme(AA15,E15,H15,V15),IF(EXACT(C15,"F"),niv_open_femme(AA15,E15,H15,V15)," ")))</f>
        <v>N2</v>
      </c>
      <c r="AA15" s="145" t="s">
        <v>155</v>
      </c>
      <c r="AC15" s="181" t="str">
        <f ca="1">IF(EXACT(C15,"M"),calcul_age_A1(AA15,D15),IF(EXACT(C15,"F"),calcul_age_A1(AA15,D15),""))</f>
        <v>SNR</v>
      </c>
      <c r="AD15" s="179" t="str">
        <f ca="1">IF(V15="","",IF(EXACT(C15,"M"),niv_homme(AA15,AC15,H15,V15),IF(EXACT(C15,"F"),niv_femme(AA15,AC15,H15,V15))))</f>
        <v>N2</v>
      </c>
      <c r="AE15" s="161"/>
      <c r="AF15" s="161"/>
      <c r="AG15" s="161"/>
      <c r="AH15" s="161"/>
      <c r="AI15" s="161"/>
    </row>
    <row r="16" spans="1:35" s="1" customFormat="1" ht="18" customHeight="1" x14ac:dyDescent="0.2">
      <c r="A16" s="420" t="s">
        <v>474</v>
      </c>
      <c r="B16" s="421" t="s">
        <v>471</v>
      </c>
      <c r="C16" s="420" t="s">
        <v>473</v>
      </c>
      <c r="D16" s="422">
        <v>37986</v>
      </c>
      <c r="E16" s="176" t="str">
        <f ca="1">IF(EXACT(C16,"M"),calcul_age(AA16,D16),IF(EXACT(C16,"F"),calcul_age(AA16,D16),""))</f>
        <v>JR</v>
      </c>
      <c r="F16" s="413" t="s">
        <v>444</v>
      </c>
      <c r="G16" s="413" t="s">
        <v>445</v>
      </c>
      <c r="H16" s="161">
        <v>54.8</v>
      </c>
      <c r="I16" s="174" t="str">
        <f ca="1">IF(EXACT(C16,"M"),categorie_poids_homme(AA16,E16,H16),IF(EXACT(C16,"F"),categorie_poids_femme(AA16,E16,H16),""))</f>
        <v>57 Kg</v>
      </c>
      <c r="J16" s="175">
        <f>IF(H16="","",ROUNDUP(IF(EXACT(C16,"M"),IF(AA16="FA",indice_homme_FA(H16),indice_homme_PL(H16)),IF(EXACT(C16,"F"),IF(AA16="PL",indice_femme_PL(H16),indice_femme_FA(H16)),0)),6))</f>
        <v>0.24180499999999999</v>
      </c>
      <c r="K16" s="146"/>
      <c r="L16" s="414">
        <v>105</v>
      </c>
      <c r="M16" s="415">
        <v>112.5</v>
      </c>
      <c r="N16" s="423">
        <v>300</v>
      </c>
      <c r="O16" s="414">
        <v>50</v>
      </c>
      <c r="P16" s="415">
        <v>55</v>
      </c>
      <c r="Q16" s="418">
        <v>60</v>
      </c>
      <c r="R16" s="414">
        <v>125</v>
      </c>
      <c r="S16" s="415">
        <v>132.5</v>
      </c>
      <c r="T16" s="423">
        <v>230</v>
      </c>
      <c r="U16" s="177">
        <f ca="1">IF(AND(L16="",M16="",N16="",O16="",P16="",Q16="",R16="",S16="",T16=""),"",total_annonce(L16,M16,N16,O16,P16,Q16,R16,S16,T16))</f>
        <v>585</v>
      </c>
      <c r="V16" s="178">
        <f ca="1">IF(AND(L16="",M16="",N16="",O16="",P16="",Q16="",R16="",S16="",T16=""),"",total_réussi(L16,M16,N16,O16,P16,Q16,R16,S16,T16))</f>
        <v>300</v>
      </c>
      <c r="W16" s="199"/>
      <c r="X16" s="179">
        <f ca="1">IF(AA16=0,"",IF(AA16="FA",IF(H16="","",ROUNDUP(IF(EXACT(C16,"M"),indice_homme_FA(H16)*total_réussi(L16,M16,N16,O16,P16,Q16,R16,S16,T16),IF(EXACT(C16,"F"),indice_femme_FA(H16)*total_réussi(L16,M16,N16,O16,P16,Q16,R16,S16,T16),0)),6)),IF(H16="","",ROUNDUP(IF(EXACT(C16,"M"),indice_homme_PL(H16)*total_réussi(L16,M16,N16,O16,P16,Q16,R16,S16,T16),IF(EXACT(C16,"F"),indice_femme_PL(H16)*total_réussi(L16,M16,N16,O16,P16,Q16,R16,S16,T16),0)),6))))</f>
        <v>72.541214999999994</v>
      </c>
      <c r="Y16" s="179" t="str">
        <f ca="1">IF(U16="","",IF(EXACT(C16,"M"),niv_homme(AA16,E16,H16,V16),IF(EXACT(C16,"F"),niv_femme(AA16,E16,H16,V16)," ")))</f>
        <v>R1</v>
      </c>
      <c r="Z16" s="180" t="str">
        <f ca="1">IF(U16="","",IF(EXACT(C16,"M"),niv_open_homme(AA16,E16,H16,V16),IF(EXACT(C16,"F"),niv_open_femme(AA16,E16,H16,V16)," ")))</f>
        <v>R2</v>
      </c>
      <c r="AA16" s="145" t="s">
        <v>155</v>
      </c>
      <c r="AC16" s="181" t="str">
        <f ca="1">IF(EXACT(C16,"M"),calcul_age_A1(AA16,D16),IF(EXACT(C16,"F"),calcul_age_A1(AA16,D16),""))</f>
        <v>JR</v>
      </c>
      <c r="AD16" s="179" t="str">
        <f ca="1">IF(V16="","",IF(EXACT(C16,"M"),niv_homme(AA16,AC16,H16,V16),IF(EXACT(C16,"F"),niv_femme(AA16,AC16,H16,V16))))</f>
        <v>R1</v>
      </c>
      <c r="AE16" s="161"/>
      <c r="AF16" s="161"/>
      <c r="AG16" s="161"/>
      <c r="AH16" s="161"/>
      <c r="AI16" s="161"/>
    </row>
    <row r="17" spans="1:35" s="1" customFormat="1" ht="18" customHeight="1" x14ac:dyDescent="0.2">
      <c r="A17" s="420" t="s">
        <v>475</v>
      </c>
      <c r="B17" s="421" t="s">
        <v>476</v>
      </c>
      <c r="C17" s="420" t="s">
        <v>473</v>
      </c>
      <c r="D17" s="422">
        <v>37969</v>
      </c>
      <c r="E17" s="176" t="str">
        <f ca="1">IF(EXACT(C17,"M"),calcul_age(AA17,D17),IF(EXACT(C17,"F"),calcul_age(AA17,D17),""))</f>
        <v>JR</v>
      </c>
      <c r="F17" s="413" t="s">
        <v>446</v>
      </c>
      <c r="G17" s="413" t="s">
        <v>447</v>
      </c>
      <c r="H17" s="161">
        <v>56.7</v>
      </c>
      <c r="I17" s="174" t="str">
        <f ca="1">IF(EXACT(C17,"M"),categorie_poids_homme(AA17,E17,H17),IF(EXACT(C17,"F"),categorie_poids_femme(AA17,E17,H17),""))</f>
        <v>57 Kg</v>
      </c>
      <c r="J17" s="175">
        <f>IF(H17="","",ROUNDUP(IF(EXACT(C17,"M"),IF(AA17="FA",indice_homme_FA(H17),indice_homme_PL(H17)),IF(EXACT(C17,"F"),IF(AA17="PL",indice_femme_PL(H17),indice_femme_FA(H17)),0)),6))</f>
        <v>0.23550000000000001</v>
      </c>
      <c r="K17" s="146"/>
      <c r="L17" s="414">
        <v>97.5</v>
      </c>
      <c r="M17" s="415">
        <v>102.5</v>
      </c>
      <c r="N17" s="423">
        <v>300</v>
      </c>
      <c r="O17" s="414">
        <v>50</v>
      </c>
      <c r="P17" s="415">
        <v>55</v>
      </c>
      <c r="Q17" s="418">
        <v>57.5</v>
      </c>
      <c r="R17" s="414">
        <v>117.5</v>
      </c>
      <c r="S17" s="415">
        <v>125</v>
      </c>
      <c r="T17" s="423">
        <v>300</v>
      </c>
      <c r="U17" s="177">
        <f ca="1">IF(AND(L17="",M17="",N17="",O17="",P17="",Q17="",R17="",S17="",T17=""),"",total_annonce(L17,M17,N17,O17,P17,Q17,R17,S17,T17))</f>
        <v>655</v>
      </c>
      <c r="V17" s="178">
        <f ca="1">IF(AND(L17="",M17="",N17="",O17="",P17="",Q17="",R17="",S17="",T17=""),"",total_réussi(L17,M17,N17,O17,P17,Q17,R17,S17,T17))</f>
        <v>282.5</v>
      </c>
      <c r="W17" s="199"/>
      <c r="X17" s="179">
        <f ca="1">IF(AA17=0,"",IF(AA17="FA",IF(H17="","",ROUNDUP(IF(EXACT(C17,"M"),indice_homme_FA(H17)*total_réussi(L17,M17,N17,O17,P17,Q17,R17,S17,T17),IF(EXACT(C17,"F"),indice_femme_FA(H17)*total_réussi(L17,M17,N17,O17,P17,Q17,R17,S17,T17),0)),6)),IF(H17="","",ROUNDUP(IF(EXACT(C17,"M"),indice_homme_PL(H17)*total_réussi(L17,M17,N17,O17,P17,Q17,R17,S17,T17),IF(EXACT(C17,"F"),indice_femme_PL(H17)*total_réussi(L17,M17,N17,O17,P17,Q17,R17,S17,T17),0)),6))))</f>
        <v>66.528559999999999</v>
      </c>
      <c r="Y17" s="179" t="str">
        <f ca="1">IF(U17="","",IF(EXACT(C17,"M"),niv_homme(AA17,E17,H17,V17),IF(EXACT(C17,"F"),niv_femme(AA17,E17,H17,V17)," ")))</f>
        <v>R1</v>
      </c>
      <c r="Z17" s="180" t="str">
        <f ca="1">IF(U17="","",IF(EXACT(C17,"M"),niv_open_homme(AA17,E17,H17,V17),IF(EXACT(C17,"F"),niv_open_femme(AA17,E17,H17,V17)," ")))</f>
        <v>R2</v>
      </c>
      <c r="AA17" s="145" t="s">
        <v>155</v>
      </c>
      <c r="AC17" s="181" t="str">
        <f ca="1">IF(EXACT(C17,"M"),calcul_age_A1(AA17,D17),IF(EXACT(C17,"F"),calcul_age_A1(AA17,D17),""))</f>
        <v>JR</v>
      </c>
      <c r="AD17" s="179" t="str">
        <f ca="1">IF(V17="","",IF(EXACT(C17,"M"),niv_homme(AA17,AC17,H17,V17),IF(EXACT(C17,"F"),niv_femme(AA17,AC17,H17,V17))))</f>
        <v>R1</v>
      </c>
      <c r="AE17" s="161"/>
      <c r="AF17" s="161"/>
      <c r="AG17" s="161"/>
      <c r="AH17" s="161"/>
      <c r="AI17" s="161"/>
    </row>
    <row r="18" spans="1:35" s="1" customFormat="1" ht="18" customHeight="1" x14ac:dyDescent="0.2">
      <c r="A18" s="420" t="s">
        <v>479</v>
      </c>
      <c r="B18" s="421" t="s">
        <v>476</v>
      </c>
      <c r="C18" s="420" t="s">
        <v>468</v>
      </c>
      <c r="D18" s="422">
        <v>37773</v>
      </c>
      <c r="E18" s="176" t="str">
        <f ca="1">IF(EXACT(C18,"M"),calcul_age(AA18,D18),IF(EXACT(C18,"F"),calcul_age(AA18,D18),""))</f>
        <v>JR</v>
      </c>
      <c r="F18" s="413" t="s">
        <v>452</v>
      </c>
      <c r="G18" s="413" t="s">
        <v>453</v>
      </c>
      <c r="H18" s="161">
        <v>72.8</v>
      </c>
      <c r="I18" s="174" t="str">
        <f ca="1">IF(EXACT(C18,"M"),categorie_poids_homme(AA18,E18,H18),IF(EXACT(C18,"F"),categorie_poids_femme(AA18,E18,H18),""))</f>
        <v>74 Kg</v>
      </c>
      <c r="J18" s="175">
        <f>IF(H18="","",ROUNDUP(IF(EXACT(C18,"M"),IF(AA18="FA",indice_homme_FA(H18),indice_homme_PL(H18)),IF(EXACT(C18,"F"),IF(AA18="PL",indice_femme_PL(H18),indice_femme_FA(H18)),0)),6))</f>
        <v>0.148063</v>
      </c>
      <c r="K18" s="146"/>
      <c r="L18" s="414">
        <v>185</v>
      </c>
      <c r="M18" s="415">
        <v>195</v>
      </c>
      <c r="N18" s="423">
        <v>300</v>
      </c>
      <c r="O18" s="414">
        <v>140</v>
      </c>
      <c r="P18" s="415">
        <v>145</v>
      </c>
      <c r="Q18" s="418">
        <v>148</v>
      </c>
      <c r="R18" s="419">
        <v>230</v>
      </c>
      <c r="S18" s="417">
        <v>245</v>
      </c>
      <c r="T18" s="423">
        <v>120</v>
      </c>
      <c r="U18" s="177">
        <f ca="1">IF(AND(L18="",M18="",N18="",O18="",P18="",Q18="",R18="",S18="",T18=""),"",total_annonce(L18,M18,N18,O18,P18,Q18,R18,S18,T18))</f>
        <v>565</v>
      </c>
      <c r="V18" s="178">
        <f ca="1">IF(AND(L18="",M18="",N18="",O18="",P18="",Q18="",R18="",S18="",T18=""),"",total_réussi(L18,M18,N18,O18,P18,Q18,R18,S18,T18))</f>
        <v>340</v>
      </c>
      <c r="W18" s="199"/>
      <c r="X18" s="179">
        <f ca="1">IF(AA18=0,"",IF(AA18="FA",IF(H18="","",ROUNDUP(IF(EXACT(C18,"M"),indice_homme_FA(H18)*total_réussi(L18,M18,N18,O18,P18,Q18,R18,S18,T18),IF(EXACT(C18,"F"),indice_femme_FA(H18)*total_réussi(L18,M18,N18,O18,P18,Q18,R18,S18,T18),0)),6)),IF(H18="","",ROUNDUP(IF(EXACT(C18,"M"),indice_homme_PL(H18)*total_réussi(L18,M18,N18,O18,P18,Q18,R18,S18,T18),IF(EXACT(C18,"F"),indice_femme_PL(H18)*total_réussi(L18,M18,N18,O18,P18,Q18,R18,S18,T18),0)),6))))</f>
        <v>50.341276999999998</v>
      </c>
      <c r="Y18" s="179" t="str">
        <f ca="1">IF(U18="","",IF(EXACT(C18,"M"),niv_homme(AA18,E18,H18,V18),IF(EXACT(C18,"F"),niv_femme(AA18,E18,H18,V18)," ")))</f>
        <v>dépt.</v>
      </c>
      <c r="Z18" s="180" t="str">
        <f ca="1">IF(U18="","",IF(EXACT(C18,"M"),niv_open_homme(AA18,E18,H18,V18),IF(EXACT(C18,"F"),niv_open_femme(AA18,E18,H18,V18)," ")))</f>
        <v>dépt.</v>
      </c>
      <c r="AA18" s="145" t="s">
        <v>155</v>
      </c>
      <c r="AC18" s="181" t="str">
        <f ca="1">IF(EXACT(C18,"M"),calcul_age_A1(AA18,D18),IF(EXACT(C18,"F"),calcul_age_A1(AA18,D18),""))</f>
        <v>JR</v>
      </c>
      <c r="AD18" s="179" t="str">
        <f ca="1">IF(V18="","",IF(EXACT(C18,"M"),niv_homme(AA18,AC18,H18,V18),IF(EXACT(C18,"F"),niv_femme(AA18,AC18,H18,V18))))</f>
        <v>dépt.</v>
      </c>
      <c r="AE18" s="161"/>
      <c r="AF18" s="161"/>
      <c r="AG18" s="161"/>
      <c r="AH18" s="161"/>
      <c r="AI18" s="161"/>
    </row>
    <row r="19" spans="1:35" s="1" customFormat="1" ht="18" customHeight="1" x14ac:dyDescent="0.2">
      <c r="A19" s="420" t="s">
        <v>480</v>
      </c>
      <c r="B19" s="421" t="s">
        <v>471</v>
      </c>
      <c r="C19" s="420" t="s">
        <v>468</v>
      </c>
      <c r="D19" s="422">
        <v>38563</v>
      </c>
      <c r="E19" s="176" t="str">
        <f ca="1">IF(EXACT(C19,"M"),calcul_age(AA19,D19),IF(EXACT(C19,"F"),calcul_age(AA19,D19),""))</f>
        <v>JR</v>
      </c>
      <c r="F19" s="413" t="s">
        <v>454</v>
      </c>
      <c r="G19" s="413" t="s">
        <v>455</v>
      </c>
      <c r="H19" s="161">
        <v>86.3</v>
      </c>
      <c r="I19" s="174" t="str">
        <f ca="1">IF(EXACT(C19,"M"),categorie_poids_homme(AA19,E19,H19),IF(EXACT(C19,"F"),categorie_poids_femme(AA19,E19,H19),""))</f>
        <v>93 Kg</v>
      </c>
      <c r="J19" s="175">
        <f>IF(H19="","",ROUNDUP(IF(EXACT(C19,"M"),IF(AA19="FA",indice_homme_FA(H19),indice_homme_PL(H19)),IF(EXACT(C19,"F"),IF(AA19="PL",indice_femme_PL(H19),indice_femme_FA(H19)),0)),6))</f>
        <v>0.135742</v>
      </c>
      <c r="K19" s="146"/>
      <c r="L19" s="414">
        <v>210</v>
      </c>
      <c r="M19" s="415">
        <v>222.5</v>
      </c>
      <c r="N19" s="423">
        <v>300</v>
      </c>
      <c r="O19" s="414">
        <v>130</v>
      </c>
      <c r="P19" s="415">
        <v>135</v>
      </c>
      <c r="Q19" s="416">
        <v>140</v>
      </c>
      <c r="R19" s="414">
        <v>250</v>
      </c>
      <c r="S19" s="415">
        <v>276</v>
      </c>
      <c r="T19" s="423">
        <v>150</v>
      </c>
      <c r="U19" s="177">
        <f ca="1">IF(AND(L19="",M19="",N19="",O19="",P19="",Q19="",R19="",S19="",T19=""),"",total_annonce(L19,M19,N19,O19,P19,Q19,R19,S19,T19))</f>
        <v>590</v>
      </c>
      <c r="V19" s="178">
        <f ca="1">IF(AND(L19="",M19="",N19="",O19="",P19="",Q19="",R19="",S19="",T19=""),"",total_réussi(L19,M19,N19,O19,P19,Q19,R19,S19,T19))</f>
        <v>638.5</v>
      </c>
      <c r="W19" s="199"/>
      <c r="X19" s="179">
        <f ca="1">IF(AA19=0,"",IF(AA19="FA",IF(H19="","",ROUNDUP(IF(EXACT(C19,"M"),indice_homme_FA(H19)*total_réussi(L19,M19,N19,O19,P19,Q19,R19,S19,T19),IF(EXACT(C19,"F"),indice_femme_FA(H19)*total_réussi(L19,M19,N19,O19,P19,Q19,R19,S19,T19),0)),6)),IF(H19="","",ROUNDUP(IF(EXACT(C19,"M"),indice_homme_PL(H19)*total_réussi(L19,M19,N19,O19,P19,Q19,R19,S19,T19),IF(EXACT(C19,"F"),indice_femme_PL(H19)*total_réussi(L19,M19,N19,O19,P19,Q19,R19,S19,T19),0)),6))))</f>
        <v>86.671032999999994</v>
      </c>
      <c r="Y19" s="179" t="str">
        <f ca="1">IF(U19="","",IF(EXACT(C19,"M"),niv_homme(AA19,E19,H19,V19),IF(EXACT(C19,"F"),niv_femme(AA19,E19,H19,V19)," ")))</f>
        <v>N2</v>
      </c>
      <c r="Z19" s="180" t="str">
        <f ca="1">IF(U19="","",IF(EXACT(C19,"M"),niv_open_homme(AA19,E19,H19,V19),IF(EXACT(C19,"F"),niv_open_femme(AA19,E19,H19,V19)," ")))</f>
        <v>R2</v>
      </c>
      <c r="AA19" s="145" t="s">
        <v>155</v>
      </c>
      <c r="AC19" s="181" t="str">
        <f ca="1">IF(EXACT(C19,"M"),calcul_age_A1(AA19,D19),IF(EXACT(C19,"F"),calcul_age_A1(AA19,D19),""))</f>
        <v>JR</v>
      </c>
      <c r="AD19" s="179" t="str">
        <f ca="1">IF(V19="","",IF(EXACT(C19,"M"),niv_homme(AA19,AC19,H19,V19),IF(EXACT(C19,"F"),niv_femme(AA19,AC19,H19,V19))))</f>
        <v>N2</v>
      </c>
      <c r="AE19" s="161"/>
      <c r="AF19" s="161"/>
      <c r="AG19" s="161"/>
      <c r="AH19" s="161"/>
      <c r="AI19" s="161"/>
    </row>
    <row r="20" spans="1:35" s="1" customFormat="1" ht="18" customHeight="1" x14ac:dyDescent="0.2">
      <c r="A20" s="420" t="s">
        <v>481</v>
      </c>
      <c r="B20" s="421" t="s">
        <v>482</v>
      </c>
      <c r="C20" s="420" t="s">
        <v>468</v>
      </c>
      <c r="D20" s="422">
        <v>38659</v>
      </c>
      <c r="E20" s="176" t="str">
        <f ca="1">IF(EXACT(C20,"M"),calcul_age(AA20,D20),IF(EXACT(C20,"F"),calcul_age(AA20,D20),""))</f>
        <v>JR</v>
      </c>
      <c r="F20" s="413" t="s">
        <v>456</v>
      </c>
      <c r="G20" s="413" t="s">
        <v>457</v>
      </c>
      <c r="H20" s="161">
        <v>88.6</v>
      </c>
      <c r="I20" s="174" t="str">
        <f ca="1">IF(EXACT(C20,"M"),categorie_poids_homme(AA20,E20,H20),IF(EXACT(C20,"F"),categorie_poids_femme(AA20,E20,H20),""))</f>
        <v>93 Kg</v>
      </c>
      <c r="J20" s="175">
        <f>IF(H20="","",ROUNDUP(IF(EXACT(C20,"M"),IF(AA20="FA",indice_homme_FA(H20),indice_homme_PL(H20)),IF(EXACT(C20,"F"),IF(AA20="PL",indice_femme_PL(H20),indice_femme_FA(H20)),0)),6))</f>
        <v>0.13397700000000001</v>
      </c>
      <c r="K20" s="146"/>
      <c r="L20" s="414">
        <v>195</v>
      </c>
      <c r="M20" s="415">
        <v>207.5</v>
      </c>
      <c r="N20" s="423">
        <v>300</v>
      </c>
      <c r="O20" s="414">
        <v>145</v>
      </c>
      <c r="P20" s="417">
        <v>155</v>
      </c>
      <c r="Q20" s="418">
        <v>155</v>
      </c>
      <c r="R20" s="419">
        <v>200</v>
      </c>
      <c r="S20" s="415">
        <v>215</v>
      </c>
      <c r="T20" s="423">
        <v>160</v>
      </c>
      <c r="U20" s="177">
        <f ca="1">IF(AND(L20="",M20="",N20="",O20="",P20="",Q20="",R20="",S20="",T20=""),"",total_annonce(L20,M20,N20,O20,P20,Q20,R20,S20,T20))</f>
        <v>605</v>
      </c>
      <c r="V20" s="178">
        <f ca="1">IF(AND(L20="",M20="",N20="",O20="",P20="",Q20="",R20="",S20="",T20=""),"",total_réussi(L20,M20,N20,O20,P20,Q20,R20,S20,T20))</f>
        <v>567.5</v>
      </c>
      <c r="W20" s="199"/>
      <c r="X20" s="179">
        <f ca="1">IF(AA20=0,"",IF(AA20="FA",IF(H20="","",ROUNDUP(IF(EXACT(C20,"M"),indice_homme_FA(H20)*total_réussi(L20,M20,N20,O20,P20,Q20,R20,S20,T20),IF(EXACT(C20,"F"),indice_femme_FA(H20)*total_réussi(L20,M20,N20,O20,P20,Q20,R20,S20,T20),0)),6)),IF(H20="","",ROUNDUP(IF(EXACT(C20,"M"),indice_homme_PL(H20)*total_réussi(L20,M20,N20,O20,P20,Q20,R20,S20,T20),IF(EXACT(C20,"F"),indice_femme_PL(H20)*total_réussi(L20,M20,N20,O20,P20,Q20,R20,S20,T20),0)),6))))</f>
        <v>76.031723999999997</v>
      </c>
      <c r="Y20" s="179" t="str">
        <f ca="1">IF(U20="","",IF(EXACT(C20,"M"),niv_homme(AA20,E20,H20,V20),IF(EXACT(C20,"F"),niv_femme(AA20,E20,H20,V20)," ")))</f>
        <v>R1</v>
      </c>
      <c r="Z20" s="180" t="str">
        <f ca="1">IF(U20="","",IF(EXACT(C20,"M"),niv_open_homme(AA20,E20,H20,V20),IF(EXACT(C20,"F"),niv_open_femme(AA20,E20,H20,V20)," ")))</f>
        <v>R3</v>
      </c>
      <c r="AA20" s="145" t="s">
        <v>155</v>
      </c>
      <c r="AC20" s="181" t="str">
        <f ca="1">IF(EXACT(C20,"M"),calcul_age_A1(AA20,D20),IF(EXACT(C20,"F"),calcul_age_A1(AA20,D20),""))</f>
        <v>JR</v>
      </c>
      <c r="AD20" s="179" t="str">
        <f ca="1">IF(V20="","",IF(EXACT(C20,"M"),niv_homme(AA20,AC20,H20,V20),IF(EXACT(C20,"F"),niv_femme(AA20,AC20,H20,V20))))</f>
        <v>R1</v>
      </c>
      <c r="AE20" s="161"/>
      <c r="AF20" s="161"/>
      <c r="AG20" s="161"/>
      <c r="AH20" s="161"/>
      <c r="AI20" s="161"/>
    </row>
    <row r="21" spans="1:35" s="1" customFormat="1" ht="18" customHeight="1" x14ac:dyDescent="0.2">
      <c r="A21" s="420" t="s">
        <v>483</v>
      </c>
      <c r="B21" s="421" t="s">
        <v>484</v>
      </c>
      <c r="C21" s="420" t="s">
        <v>468</v>
      </c>
      <c r="D21" s="422">
        <v>38034</v>
      </c>
      <c r="E21" s="176" t="str">
        <f ca="1">IF(EXACT(C21,"M"),calcul_age(AA21,D21),IF(EXACT(C21,"F"),calcul_age(AA21,D21),""))</f>
        <v>JR</v>
      </c>
      <c r="F21" s="413" t="s">
        <v>458</v>
      </c>
      <c r="G21" s="413" t="s">
        <v>459</v>
      </c>
      <c r="H21" s="161">
        <v>87.4</v>
      </c>
      <c r="I21" s="174" t="str">
        <f ca="1">IF(EXACT(C21,"M"),categorie_poids_homme(AA21,E21,H21),IF(EXACT(C21,"F"),categorie_poids_femme(AA21,E21,H21),""))</f>
        <v>93 Kg</v>
      </c>
      <c r="J21" s="175">
        <f>IF(H21="","",ROUNDUP(IF(EXACT(C21,"M"),IF(AA21="FA",indice_homme_FA(H21),indice_homme_PL(H21)),IF(EXACT(C21,"F"),IF(AA21="PL",indice_femme_PL(H21),indice_femme_FA(H21)),0)),6))</f>
        <v>0.13488800000000001</v>
      </c>
      <c r="K21" s="146"/>
      <c r="L21" s="414">
        <v>187.5</v>
      </c>
      <c r="M21" s="415">
        <v>200</v>
      </c>
      <c r="N21" s="418">
        <v>205</v>
      </c>
      <c r="O21" s="414">
        <v>107.5</v>
      </c>
      <c r="P21" s="417">
        <v>112.5</v>
      </c>
      <c r="Q21" s="418">
        <v>112.5</v>
      </c>
      <c r="R21" s="414">
        <v>227.5</v>
      </c>
      <c r="S21" s="417">
        <v>250</v>
      </c>
      <c r="T21" s="423">
        <v>245</v>
      </c>
      <c r="U21" s="177">
        <f ca="1">IF(AND(L21="",M21="",N21="",O21="",P21="",Q21="",R21="",S21="",T21=""),"",total_annonce(L21,M21,N21,O21,P21,Q21,R21,S21,T21))</f>
        <v>552.5</v>
      </c>
      <c r="V21" s="178">
        <f ca="1">IF(AND(L21="",M21="",N21="",O21="",P21="",Q21="",R21="",S21="",T21=""),"",total_réussi(L21,M21,N21,O21,P21,Q21,R21,S21,T21))</f>
        <v>535</v>
      </c>
      <c r="W21" s="199"/>
      <c r="X21" s="179">
        <f ca="1">IF(AA21=0,"",IF(AA21="FA",IF(H21="","",ROUNDUP(IF(EXACT(C21,"M"),indice_homme_FA(H21)*total_réussi(L21,M21,N21,O21,P21,Q21,R21,S21,T21),IF(EXACT(C21,"F"),indice_femme_FA(H21)*total_réussi(L21,M21,N21,O21,P21,Q21,R21,S21,T21),0)),6)),IF(H21="","",ROUNDUP(IF(EXACT(C21,"M"),indice_homme_PL(H21)*total_réussi(L21,M21,N21,O21,P21,Q21,R21,S21,T21),IF(EXACT(C21,"F"),indice_femme_PL(H21)*total_réussi(L21,M21,N21,O21,P21,Q21,R21,S21,T21),0)),6))))</f>
        <v>72.164574999999999</v>
      </c>
      <c r="Y21" s="179" t="str">
        <f ca="1">IF(U21="","",IF(EXACT(C21,"M"),niv_homme(AA21,E21,H21,V21),IF(EXACT(C21,"F"),niv_femme(AA21,E21,H21,V21)," ")))</f>
        <v>R2</v>
      </c>
      <c r="Z21" s="180" t="str">
        <f ca="1">IF(U21="","",IF(EXACT(C21,"M"),niv_open_homme(AA21,E21,H21,V21),IF(EXACT(C21,"F"),niv_open_femme(AA21,E21,H21,V21)," ")))</f>
        <v>dépt.</v>
      </c>
      <c r="AA21" s="145" t="s">
        <v>155</v>
      </c>
      <c r="AC21" s="181" t="str">
        <f ca="1">IF(EXACT(C21,"M"),calcul_age_A1(AA21,D21),IF(EXACT(C21,"F"),calcul_age_A1(AA21,D21),""))</f>
        <v>JR</v>
      </c>
      <c r="AD21" s="179" t="str">
        <f ca="1">IF(V21="","",IF(EXACT(C21,"M"),niv_homme(AA21,AC21,H21,V21),IF(EXACT(C21,"F"),niv_femme(AA21,AC21,H21,V21))))</f>
        <v>R2</v>
      </c>
      <c r="AE21" s="161"/>
      <c r="AF21" s="161"/>
      <c r="AG21" s="161"/>
      <c r="AH21" s="161"/>
      <c r="AI21" s="161"/>
    </row>
    <row r="22" spans="1:35" s="1" customFormat="1" ht="18" customHeight="1" x14ac:dyDescent="0.2">
      <c r="A22" s="420" t="s">
        <v>485</v>
      </c>
      <c r="B22" s="421" t="s">
        <v>471</v>
      </c>
      <c r="C22" s="420" t="s">
        <v>468</v>
      </c>
      <c r="D22" s="422">
        <v>38123</v>
      </c>
      <c r="E22" s="176" t="str">
        <f ca="1">IF(EXACT(C22,"M"),calcul_age(AA22,D22),IF(EXACT(C22,"F"),calcul_age(AA22,D22),""))</f>
        <v>JR</v>
      </c>
      <c r="F22" s="413" t="s">
        <v>460</v>
      </c>
      <c r="G22" s="413" t="s">
        <v>461</v>
      </c>
      <c r="H22" s="161">
        <v>88.4</v>
      </c>
      <c r="I22" s="174" t="str">
        <f ca="1">IF(EXACT(C22,"M"),categorie_poids_homme(AA22,E22,H22),IF(EXACT(C22,"F"),categorie_poids_femme(AA22,E22,H22),""))</f>
        <v>93 Kg</v>
      </c>
      <c r="J22" s="175">
        <f>IF(H22="","",ROUNDUP(IF(EXACT(C22,"M"),IF(AA22="FA",indice_homme_FA(H22),indice_homme_PL(H22)),IF(EXACT(C22,"F"),IF(AA22="PL",indice_femme_PL(H22),indice_femme_FA(H22)),0)),6))</f>
        <v>0.134127</v>
      </c>
      <c r="K22" s="146"/>
      <c r="L22" s="414">
        <v>162.5</v>
      </c>
      <c r="M22" s="415">
        <v>165</v>
      </c>
      <c r="N22" s="416">
        <v>182.5</v>
      </c>
      <c r="O22" s="414">
        <v>95</v>
      </c>
      <c r="P22" s="415">
        <v>105</v>
      </c>
      <c r="Q22" s="418">
        <v>115</v>
      </c>
      <c r="R22" s="414">
        <v>210</v>
      </c>
      <c r="S22" s="415">
        <v>230</v>
      </c>
      <c r="T22" s="423">
        <v>145</v>
      </c>
      <c r="U22" s="177">
        <f ca="1">IF(AND(L22="",M22="",N22="",O22="",P22="",Q22="",R22="",S22="",T22=""),"",total_annonce(L22,M22,N22,O22,P22,Q22,R22,S22,T22))</f>
        <v>432.5</v>
      </c>
      <c r="V22" s="178">
        <f ca="1">IF(AND(L22="",M22="",N22="",O22="",P22="",Q22="",R22="",S22="",T22=""),"",total_réussi(L22,M22,N22,O22,P22,Q22,R22,S22,T22))</f>
        <v>517.5</v>
      </c>
      <c r="W22" s="199"/>
      <c r="X22" s="179">
        <f ca="1">IF(AA22=0,"",IF(AA22="FA",IF(H22="","",ROUNDUP(IF(EXACT(C22,"M"),indice_homme_FA(H22)*total_réussi(L22,M22,N22,O22,P22,Q22,R22,S22,T22),IF(EXACT(C22,"F"),indice_femme_FA(H22)*total_réussi(L22,M22,N22,O22,P22,Q22,R22,S22,T22),0)),6)),IF(H22="","",ROUNDUP(IF(EXACT(C22,"M"),indice_homme_PL(H22)*total_réussi(L22,M22,N22,O22,P22,Q22,R22,S22,T22),IF(EXACT(C22,"F"),indice_femme_PL(H22)*total_réussi(L22,M22,N22,O22,P22,Q22,R22,S22,T22),0)),6))))</f>
        <v>69.410618999999997</v>
      </c>
      <c r="Y22" s="179" t="str">
        <f ca="1">IF(U22="","",IF(EXACT(C22,"M"),niv_homme(AA22,E22,H22,V22),IF(EXACT(C22,"F"),niv_femme(AA22,E22,H22,V22)," ")))</f>
        <v>R2</v>
      </c>
      <c r="Z22" s="180" t="str">
        <f ca="1">IF(U22="","",IF(EXACT(C22,"M"),niv_open_homme(AA22,E22,H22,V22),IF(EXACT(C22,"F"),niv_open_femme(AA22,E22,H22,V22)," ")))</f>
        <v>dépt.</v>
      </c>
      <c r="AA22" s="145" t="s">
        <v>155</v>
      </c>
      <c r="AC22" s="181" t="str">
        <f ca="1">IF(EXACT(C22,"M"),calcul_age_A1(AA22,D22),IF(EXACT(C22,"F"),calcul_age_A1(AA22,D22),""))</f>
        <v>JR</v>
      </c>
      <c r="AD22" s="179" t="str">
        <f ca="1">IF(V22="","",IF(EXACT(C22,"M"),niv_homme(AA22,AC22,H22,V22),IF(EXACT(C22,"F"),niv_femme(AA22,AC22,H22,V22))))</f>
        <v>R2</v>
      </c>
      <c r="AE22" s="161"/>
      <c r="AF22" s="161"/>
      <c r="AG22" s="161"/>
      <c r="AH22" s="161"/>
      <c r="AI22" s="161"/>
    </row>
    <row r="23" spans="1:35" s="1" customFormat="1" ht="18" customHeight="1" x14ac:dyDescent="0.2">
      <c r="A23" s="420" t="s">
        <v>486</v>
      </c>
      <c r="B23" s="421" t="s">
        <v>476</v>
      </c>
      <c r="C23" s="420" t="s">
        <v>468</v>
      </c>
      <c r="D23" s="422">
        <v>38727</v>
      </c>
      <c r="E23" s="176" t="str">
        <f ca="1">IF(EXACT(C23,"M"),calcul_age(AA23,D23),IF(EXACT(C23,"F"),calcul_age(AA23,D23),""))</f>
        <v>JR</v>
      </c>
      <c r="F23" s="413" t="s">
        <v>462</v>
      </c>
      <c r="G23" s="413" t="s">
        <v>463</v>
      </c>
      <c r="H23" s="161">
        <v>83.95</v>
      </c>
      <c r="I23" s="174" t="str">
        <f ca="1">IF(EXACT(C23,"M"),categorie_poids_homme(AA23,E23,H23),IF(EXACT(C23,"F"),categorie_poids_femme(AA23,E23,H23),""))</f>
        <v>93 Kg</v>
      </c>
      <c r="J23" s="175">
        <f>IF(H23="","",ROUNDUP(IF(EXACT(C23,"M"),IF(AA23="FA",indice_homme_FA(H23),indice_homme_PL(H23)),IF(EXACT(C23,"F"),IF(AA23="PL",indice_femme_PL(H23),indice_femme_FA(H23)),0)),6))</f>
        <v>0.13763500000000001</v>
      </c>
      <c r="K23" s="146"/>
      <c r="L23" s="414">
        <v>165</v>
      </c>
      <c r="M23" s="415">
        <v>175</v>
      </c>
      <c r="N23" s="416">
        <v>185</v>
      </c>
      <c r="O23" s="419">
        <v>107.5</v>
      </c>
      <c r="P23" s="415">
        <v>107.5</v>
      </c>
      <c r="Q23" s="418">
        <v>112.5</v>
      </c>
      <c r="R23" s="414">
        <v>200</v>
      </c>
      <c r="S23" s="415">
        <v>212.5</v>
      </c>
      <c r="T23" s="423">
        <v>132</v>
      </c>
      <c r="U23" s="177">
        <f ca="1">IF(AND(L23="",M23="",N23="",O23="",P23="",Q23="",R23="",S23="",T23=""),"",total_annonce(L23,M23,N23,O23,P23,Q23,R23,S23,T23))</f>
        <v>424.5</v>
      </c>
      <c r="V23" s="178">
        <f ca="1">IF(AND(L23="",M23="",N23="",O23="",P23="",Q23="",R23="",S23="",T23=""),"",total_réussi(L23,M23,N23,O23,P23,Q23,R23,S23,T23))</f>
        <v>505</v>
      </c>
      <c r="W23" s="199"/>
      <c r="X23" s="179">
        <f ca="1">IF(AA23=0,"",IF(AA23="FA",IF(H23="","",ROUNDUP(IF(EXACT(C23,"M"),indice_homme_FA(H23)*total_réussi(L23,M23,N23,O23,P23,Q23,R23,S23,T23),IF(EXACT(C23,"F"),indice_femme_FA(H23)*total_réussi(L23,M23,N23,O23,P23,Q23,R23,S23,T23),0)),6)),IF(H23="","",ROUNDUP(IF(EXACT(C23,"M"),indice_homme_PL(H23)*total_réussi(L23,M23,N23,O23,P23,Q23,R23,S23,T23),IF(EXACT(C23,"F"),indice_femme_PL(H23)*total_réussi(L23,M23,N23,O23,P23,Q23,R23,S23,T23),0)),6))))</f>
        <v>69.505354999999994</v>
      </c>
      <c r="Y23" s="179" t="str">
        <f ca="1">IF(U23="","",IF(EXACT(C23,"M"),niv_homme(AA23,E23,H23,V23),IF(EXACT(C23,"F"),niv_femme(AA23,E23,H23,V23)," ")))</f>
        <v>R2</v>
      </c>
      <c r="Z23" s="180" t="str">
        <f ca="1">IF(U23="","",IF(EXACT(C23,"M"),niv_open_homme(AA23,E23,H23,V23),IF(EXACT(C23,"F"),niv_open_femme(AA23,E23,H23,V23)," ")))</f>
        <v>dépt.</v>
      </c>
      <c r="AA23" s="145" t="s">
        <v>155</v>
      </c>
      <c r="AC23" s="181" t="str">
        <f ca="1">IF(EXACT(C23,"M"),calcul_age_A1(AA23,D23),IF(EXACT(C23,"F"),calcul_age_A1(AA23,D23),""))</f>
        <v>JR</v>
      </c>
      <c r="AD23" s="179" t="str">
        <f ca="1">IF(V23="","",IF(EXACT(C23,"M"),niv_homme(AA23,AC23,H23,V23),IF(EXACT(C23,"F"),niv_femme(AA23,AC23,H23,V23))))</f>
        <v>R2</v>
      </c>
      <c r="AE23" s="161"/>
      <c r="AF23" s="161"/>
      <c r="AG23" s="161"/>
      <c r="AH23" s="161"/>
      <c r="AI23" s="161"/>
    </row>
    <row r="24" spans="1:35" s="1" customFormat="1" ht="18" customHeight="1" x14ac:dyDescent="0.2">
      <c r="A24" s="420" t="s">
        <v>487</v>
      </c>
      <c r="B24" s="421" t="s">
        <v>488</v>
      </c>
      <c r="C24" s="420" t="s">
        <v>468</v>
      </c>
      <c r="D24" s="422">
        <v>37458</v>
      </c>
      <c r="E24" s="176" t="str">
        <f ca="1">IF(EXACT(C24,"M"),calcul_age(AA24,D24),IF(EXACT(C24,"F"),calcul_age(AA24,D24),""))</f>
        <v>JR</v>
      </c>
      <c r="F24" s="413" t="s">
        <v>464</v>
      </c>
      <c r="G24" s="413" t="s">
        <v>465</v>
      </c>
      <c r="H24" s="161">
        <v>97.4</v>
      </c>
      <c r="I24" s="174" t="str">
        <f ca="1">IF(EXACT(C24,"M"),categorie_poids_homme(AA24,E24,H24),IF(EXACT(C24,"F"),categorie_poids_femme(AA24,E24,H24),""))</f>
        <v>105 Kg</v>
      </c>
      <c r="J24" s="175">
        <f>IF(H24="","",ROUNDUP(IF(EXACT(C24,"M"),IF(AA24="FA",indice_homme_FA(H24),indice_homme_PL(H24)),IF(EXACT(C24,"F"),IF(AA24="PL",indice_femme_PL(H24),indice_femme_FA(H24)),0)),6))</f>
        <v>0.12792800000000001</v>
      </c>
      <c r="K24" s="146"/>
      <c r="L24" s="414">
        <v>200</v>
      </c>
      <c r="M24" s="415">
        <v>210</v>
      </c>
      <c r="N24" s="416">
        <v>220</v>
      </c>
      <c r="O24" s="414">
        <v>135</v>
      </c>
      <c r="P24" s="415">
        <v>142.5</v>
      </c>
      <c r="Q24" s="416">
        <v>150</v>
      </c>
      <c r="R24" s="414">
        <v>215</v>
      </c>
      <c r="S24" s="415">
        <v>230</v>
      </c>
      <c r="T24" s="423">
        <v>125</v>
      </c>
      <c r="U24" s="177">
        <f ca="1">IF(AND(L24="",M24="",N24="",O24="",P24="",Q24="",R24="",S24="",T24=""),"",total_annonce(L24,M24,N24,O24,P24,Q24,R24,S24,T24))</f>
        <v>495</v>
      </c>
      <c r="V24" s="178">
        <f ca="1">IF(AND(L24="",M24="",N24="",O24="",P24="",Q24="",R24="",S24="",T24=""),"",total_réussi(L24,M24,N24,O24,P24,Q24,R24,S24,T24))</f>
        <v>600</v>
      </c>
      <c r="W24" s="199"/>
      <c r="X24" s="179">
        <f ca="1">IF(AA24=0,"",IF(AA24="FA",IF(H24="","",ROUNDUP(IF(EXACT(C24,"M"),indice_homme_FA(H24)*total_réussi(L24,M24,N24,O24,P24,Q24,R24,S24,T24),IF(EXACT(C24,"F"),indice_femme_FA(H24)*total_réussi(L24,M24,N24,O24,P24,Q24,R24,S24,T24),0)),6)),IF(H24="","",ROUNDUP(IF(EXACT(C24,"M"),indice_homme_PL(H24)*total_réussi(L24,M24,N24,O24,P24,Q24,R24,S24,T24),IF(EXACT(C24,"F"),indice_femme_PL(H24)*total_réussi(L24,M24,N24,O24,P24,Q24,R24,S24,T24),0)),6))))</f>
        <v>76.756681</v>
      </c>
      <c r="Y24" s="179" t="str">
        <f ca="1">IF(U24="","",IF(EXACT(C24,"M"),niv_homme(AA24,E24,H24,V24),IF(EXACT(C24,"F"),niv_femme(AA24,E24,H24,V24)," ")))</f>
        <v>R1</v>
      </c>
      <c r="Z24" s="180" t="str">
        <f ca="1">IF(U24="","",IF(EXACT(C24,"M"),niv_open_homme(AA24,E24,H24,V24),IF(EXACT(C24,"F"),niv_open_femme(AA24,E24,H24,V24)," ")))</f>
        <v>R3</v>
      </c>
      <c r="AA24" s="145" t="s">
        <v>155</v>
      </c>
      <c r="AC24" s="181" t="str">
        <f ca="1">IF(EXACT(C24,"M"),calcul_age_A1(AA24,D24),IF(EXACT(C24,"F"),calcul_age_A1(AA24,D24),""))</f>
        <v>SNR</v>
      </c>
      <c r="AD24" s="179" t="str">
        <f ca="1">IF(V24="","",IF(EXACT(C24,"M"),niv_homme(AA24,AC24,H24,V24),IF(EXACT(C24,"F"),niv_femme(AA24,AC24,H24,V24))))</f>
        <v>R3</v>
      </c>
      <c r="AE24" s="161"/>
      <c r="AF24" s="161"/>
      <c r="AG24" s="161"/>
      <c r="AH24" s="161"/>
      <c r="AI24" s="161"/>
    </row>
    <row r="25" spans="1:35" s="1" customFormat="1" x14ac:dyDescent="0.2">
      <c r="D25" s="404"/>
      <c r="E25" s="6"/>
      <c r="F25" s="39"/>
      <c r="G25" s="39"/>
      <c r="H25" s="405"/>
      <c r="I25" s="8"/>
      <c r="S25" s="7"/>
      <c r="T25" s="7"/>
      <c r="U25" s="7"/>
      <c r="V25" s="7"/>
      <c r="W25" s="7"/>
      <c r="X25" s="13"/>
    </row>
    <row r="26" spans="1:35" s="1" customFormat="1" x14ac:dyDescent="0.2">
      <c r="D26" s="404"/>
      <c r="E26" s="6"/>
      <c r="F26" s="39"/>
      <c r="G26" s="39"/>
      <c r="H26" s="405"/>
      <c r="I26" s="8"/>
      <c r="S26" s="7"/>
      <c r="T26" s="7"/>
      <c r="U26" s="7"/>
      <c r="V26" s="7"/>
      <c r="W26" s="7"/>
      <c r="X26" s="13"/>
    </row>
    <row r="27" spans="1:35" s="1" customFormat="1" x14ac:dyDescent="0.2">
      <c r="D27" s="404"/>
      <c r="E27" s="6"/>
      <c r="F27" s="39"/>
      <c r="G27" s="39"/>
      <c r="H27" s="405"/>
      <c r="I27" s="8"/>
      <c r="S27" s="7"/>
      <c r="T27" s="7"/>
      <c r="U27" s="7"/>
      <c r="V27" s="7"/>
      <c r="W27" s="7"/>
      <c r="X27" s="13"/>
    </row>
    <row r="28" spans="1:35" s="1" customFormat="1" x14ac:dyDescent="0.2">
      <c r="D28" s="404"/>
      <c r="E28" s="6"/>
      <c r="F28" s="39"/>
      <c r="G28" s="39"/>
      <c r="H28" s="405"/>
      <c r="I28" s="8"/>
      <c r="S28" s="7"/>
      <c r="T28" s="7"/>
      <c r="U28" s="7"/>
      <c r="V28" s="7"/>
      <c r="W28" s="7"/>
      <c r="X28" s="13"/>
    </row>
    <row r="29" spans="1:35" s="1" customFormat="1" ht="13.5" thickBot="1" x14ac:dyDescent="0.25">
      <c r="D29" s="404"/>
      <c r="E29" s="6"/>
      <c r="F29" s="39"/>
      <c r="G29" s="39"/>
      <c r="H29" s="405"/>
      <c r="I29" s="8"/>
      <c r="S29" s="7"/>
      <c r="T29" s="7"/>
      <c r="U29" s="7"/>
      <c r="V29" s="7"/>
      <c r="W29" s="7"/>
      <c r="X29" s="13"/>
    </row>
    <row r="30" spans="1:35" s="38" customFormat="1" x14ac:dyDescent="0.2">
      <c r="A30" s="138" t="s">
        <v>3</v>
      </c>
      <c r="B30" s="139"/>
      <c r="C30" s="139"/>
      <c r="D30" s="169"/>
      <c r="E30" s="140"/>
      <c r="F30" s="406"/>
      <c r="G30" s="475" t="s">
        <v>4</v>
      </c>
      <c r="H30" s="476"/>
      <c r="I30" s="475" t="s">
        <v>5</v>
      </c>
      <c r="J30" s="477"/>
      <c r="K30" s="477"/>
      <c r="L30" s="476"/>
      <c r="M30" s="475" t="s">
        <v>6</v>
      </c>
      <c r="N30" s="477"/>
      <c r="O30" s="477"/>
      <c r="P30" s="476"/>
      <c r="Q30" s="475" t="s">
        <v>26</v>
      </c>
      <c r="R30" s="477"/>
      <c r="S30" s="477"/>
      <c r="T30" s="476"/>
      <c r="U30" s="39"/>
      <c r="V30" s="39"/>
      <c r="W30" s="39"/>
      <c r="X30" s="39"/>
      <c r="Y30" s="39"/>
    </row>
    <row r="31" spans="1:35" s="38" customFormat="1" ht="13.5" thickBot="1" x14ac:dyDescent="0.25">
      <c r="A31" s="141"/>
      <c r="B31" s="142"/>
      <c r="C31" s="142"/>
      <c r="D31" s="403"/>
      <c r="E31" s="142"/>
      <c r="F31" s="407"/>
      <c r="G31" s="478"/>
      <c r="H31" s="479"/>
      <c r="I31" s="480"/>
      <c r="J31" s="481"/>
      <c r="K31" s="481"/>
      <c r="L31" s="482"/>
      <c r="M31" s="480"/>
      <c r="N31" s="481"/>
      <c r="O31" s="481"/>
      <c r="P31" s="482"/>
      <c r="Q31" s="483"/>
      <c r="R31" s="484"/>
      <c r="S31" s="484"/>
      <c r="T31" s="485"/>
      <c r="U31" s="183"/>
      <c r="V31" s="474"/>
      <c r="W31" s="474"/>
      <c r="X31" s="474"/>
      <c r="Y31" s="474"/>
    </row>
    <row r="32" spans="1:35" s="1" customFormat="1" x14ac:dyDescent="0.2">
      <c r="D32" s="404"/>
      <c r="E32" s="6"/>
      <c r="F32" s="39"/>
      <c r="G32" s="39"/>
      <c r="H32" s="405"/>
      <c r="I32" s="8"/>
      <c r="S32" s="7"/>
      <c r="T32" s="7"/>
      <c r="U32" s="7"/>
      <c r="V32" s="7"/>
      <c r="W32" s="7"/>
      <c r="X32" s="13"/>
    </row>
    <row r="33" spans="4:24" s="1" customFormat="1" x14ac:dyDescent="0.2">
      <c r="D33" s="404"/>
      <c r="E33" s="6"/>
      <c r="F33" s="39"/>
      <c r="G33" s="39"/>
      <c r="H33" s="405"/>
      <c r="I33" s="8"/>
      <c r="S33" s="7"/>
      <c r="T33" s="7"/>
      <c r="U33" s="7"/>
      <c r="V33" s="7"/>
      <c r="W33" s="7"/>
      <c r="X33" s="13"/>
    </row>
    <row r="34" spans="4:24" s="1" customFormat="1" x14ac:dyDescent="0.2">
      <c r="D34" s="7"/>
      <c r="E34" s="6"/>
      <c r="H34" s="11"/>
      <c r="I34" s="8"/>
      <c r="S34" s="7"/>
      <c r="T34" s="7"/>
      <c r="U34" s="7"/>
      <c r="V34" s="7"/>
      <c r="W34" s="7"/>
      <c r="X34" s="13"/>
    </row>
    <row r="35" spans="4:24" s="1" customFormat="1" x14ac:dyDescent="0.2">
      <c r="D35" s="7"/>
      <c r="E35" s="6"/>
      <c r="H35" s="11"/>
      <c r="I35" s="8"/>
      <c r="S35" s="7"/>
      <c r="T35" s="7"/>
      <c r="U35" s="7"/>
      <c r="V35" s="7"/>
      <c r="W35" s="7"/>
      <c r="X35" s="13"/>
    </row>
    <row r="36" spans="4:24" s="1" customFormat="1" x14ac:dyDescent="0.2">
      <c r="D36" s="7"/>
      <c r="E36" s="6"/>
      <c r="H36" s="11"/>
      <c r="I36" s="8"/>
      <c r="S36" s="7"/>
      <c r="T36" s="7"/>
      <c r="U36" s="7"/>
      <c r="V36" s="7"/>
      <c r="W36" s="7"/>
      <c r="X36" s="13"/>
    </row>
    <row r="37" spans="4:24" s="1" customFormat="1" x14ac:dyDescent="0.2">
      <c r="D37" s="7"/>
      <c r="E37" s="6"/>
      <c r="H37" s="11"/>
      <c r="I37" s="8"/>
      <c r="S37" s="7"/>
      <c r="T37" s="7"/>
      <c r="U37" s="7"/>
      <c r="V37" s="7"/>
      <c r="W37" s="7"/>
      <c r="X37" s="13"/>
    </row>
    <row r="38" spans="4:24" s="1" customFormat="1" x14ac:dyDescent="0.2">
      <c r="D38" s="7"/>
      <c r="E38" s="6"/>
      <c r="H38" s="11"/>
      <c r="I38" s="8"/>
      <c r="S38" s="7"/>
      <c r="T38" s="7"/>
      <c r="U38" s="7"/>
      <c r="V38" s="7"/>
      <c r="W38" s="7"/>
      <c r="X38" s="13"/>
    </row>
    <row r="39" spans="4:24" s="1" customFormat="1" x14ac:dyDescent="0.2">
      <c r="D39" s="7"/>
      <c r="E39" s="6"/>
      <c r="H39" s="11"/>
      <c r="I39" s="8"/>
      <c r="S39" s="7"/>
      <c r="T39" s="7"/>
      <c r="U39" s="7"/>
      <c r="V39" s="7"/>
      <c r="W39" s="7"/>
      <c r="X39" s="13"/>
    </row>
    <row r="40" spans="4:24" s="1" customFormat="1" x14ac:dyDescent="0.2">
      <c r="D40" s="7"/>
      <c r="E40" s="6"/>
      <c r="H40" s="11"/>
      <c r="I40" s="8"/>
      <c r="S40" s="7"/>
      <c r="T40" s="7"/>
      <c r="U40" s="7"/>
      <c r="V40" s="7"/>
      <c r="W40" s="7"/>
      <c r="X40" s="13"/>
    </row>
    <row r="41" spans="4:24" s="1" customFormat="1" x14ac:dyDescent="0.2">
      <c r="D41" s="7"/>
      <c r="E41" s="6"/>
      <c r="H41" s="11"/>
      <c r="I41" s="8"/>
      <c r="S41" s="7"/>
      <c r="T41" s="7"/>
      <c r="U41" s="7"/>
      <c r="V41" s="7"/>
      <c r="W41" s="7"/>
      <c r="X41" s="13"/>
    </row>
    <row r="42" spans="4:24" s="1" customFormat="1" x14ac:dyDescent="0.2">
      <c r="D42" s="7"/>
      <c r="E42" s="6"/>
      <c r="H42" s="11"/>
      <c r="I42" s="8"/>
      <c r="S42" s="7"/>
      <c r="T42" s="7"/>
      <c r="U42" s="7"/>
      <c r="V42" s="7"/>
      <c r="W42" s="7"/>
      <c r="X42" s="13"/>
    </row>
    <row r="43" spans="4:24" s="1" customFormat="1" x14ac:dyDescent="0.2">
      <c r="D43" s="7"/>
      <c r="E43" s="6"/>
      <c r="H43" s="11"/>
      <c r="I43" s="8"/>
      <c r="S43" s="7"/>
      <c r="T43" s="7"/>
      <c r="U43" s="7"/>
      <c r="V43" s="7"/>
      <c r="W43" s="7"/>
      <c r="X43" s="13"/>
    </row>
    <row r="44" spans="4:24" s="1" customFormat="1" x14ac:dyDescent="0.2">
      <c r="D44" s="7"/>
      <c r="E44" s="6"/>
      <c r="H44" s="11"/>
      <c r="I44" s="8"/>
      <c r="S44" s="7"/>
      <c r="T44" s="7"/>
      <c r="U44" s="7"/>
      <c r="V44" s="7"/>
      <c r="W44" s="7"/>
      <c r="X44" s="13"/>
    </row>
    <row r="45" spans="4:24" s="1" customFormat="1" x14ac:dyDescent="0.2">
      <c r="D45" s="7"/>
      <c r="E45" s="6"/>
      <c r="H45" s="11"/>
      <c r="I45" s="8"/>
      <c r="S45" s="7"/>
      <c r="T45" s="7"/>
      <c r="U45" s="7"/>
      <c r="V45" s="7"/>
      <c r="W45" s="7"/>
      <c r="X45" s="13"/>
    </row>
    <row r="46" spans="4:24" s="1" customFormat="1" x14ac:dyDescent="0.2">
      <c r="D46" s="7"/>
      <c r="E46" s="6"/>
      <c r="H46" s="11"/>
      <c r="I46" s="8"/>
      <c r="S46" s="7"/>
      <c r="T46" s="7"/>
      <c r="U46" s="7"/>
      <c r="V46" s="7"/>
      <c r="W46" s="7"/>
      <c r="X46" s="13"/>
    </row>
    <row r="47" spans="4:24" s="1" customFormat="1" x14ac:dyDescent="0.2">
      <c r="D47" s="7"/>
      <c r="E47" s="6"/>
      <c r="H47" s="11"/>
      <c r="I47" s="8"/>
      <c r="S47" s="7"/>
      <c r="T47" s="7"/>
      <c r="U47" s="7"/>
      <c r="V47" s="7"/>
      <c r="W47" s="7"/>
      <c r="X47" s="13"/>
    </row>
    <row r="48" spans="4:24" s="1" customFormat="1" x14ac:dyDescent="0.2">
      <c r="D48" s="7"/>
      <c r="E48" s="6"/>
      <c r="H48" s="11"/>
      <c r="I48" s="8"/>
      <c r="S48" s="7"/>
      <c r="T48" s="7"/>
      <c r="U48" s="7"/>
      <c r="V48" s="7"/>
      <c r="W48" s="7"/>
      <c r="X48" s="13"/>
    </row>
    <row r="49" spans="4:24" s="1" customFormat="1" x14ac:dyDescent="0.2">
      <c r="D49" s="7"/>
      <c r="E49" s="6"/>
      <c r="H49" s="11"/>
      <c r="I49" s="8"/>
      <c r="S49" s="7"/>
      <c r="T49" s="7"/>
      <c r="U49" s="7"/>
      <c r="V49" s="7"/>
      <c r="W49" s="7"/>
      <c r="X49" s="13"/>
    </row>
    <row r="50" spans="4:24" s="1" customFormat="1" x14ac:dyDescent="0.2">
      <c r="D50" s="7"/>
      <c r="E50" s="6"/>
      <c r="H50" s="11"/>
      <c r="I50" s="8"/>
      <c r="S50" s="7"/>
      <c r="T50" s="7"/>
      <c r="U50" s="7"/>
      <c r="V50" s="7"/>
      <c r="W50" s="7"/>
      <c r="X50" s="13"/>
    </row>
    <row r="51" spans="4:24" s="1" customFormat="1" x14ac:dyDescent="0.2">
      <c r="D51" s="7"/>
      <c r="E51" s="6"/>
      <c r="H51" s="11"/>
      <c r="I51" s="8"/>
      <c r="S51" s="7"/>
      <c r="T51" s="7"/>
      <c r="U51" s="7"/>
      <c r="V51" s="7"/>
      <c r="W51" s="7"/>
      <c r="X51" s="13"/>
    </row>
    <row r="52" spans="4:24" s="1" customFormat="1" x14ac:dyDescent="0.2">
      <c r="D52" s="7"/>
      <c r="E52" s="6"/>
      <c r="H52" s="11"/>
      <c r="I52" s="8"/>
      <c r="S52" s="7"/>
      <c r="T52" s="7"/>
      <c r="U52" s="7"/>
      <c r="V52" s="7"/>
      <c r="W52" s="7"/>
      <c r="X52" s="13"/>
    </row>
    <row r="53" spans="4:24" s="1" customFormat="1" x14ac:dyDescent="0.2">
      <c r="D53" s="7"/>
      <c r="E53" s="6"/>
      <c r="H53" s="11"/>
      <c r="I53" s="8"/>
      <c r="S53" s="7"/>
      <c r="T53" s="7"/>
      <c r="U53" s="7"/>
      <c r="V53" s="7"/>
      <c r="W53" s="7"/>
      <c r="X53" s="13"/>
    </row>
    <row r="54" spans="4:24" s="1" customFormat="1" x14ac:dyDescent="0.2">
      <c r="D54" s="7"/>
      <c r="E54" s="6"/>
      <c r="H54" s="11"/>
      <c r="I54" s="8"/>
      <c r="S54" s="7"/>
      <c r="T54" s="7"/>
      <c r="U54" s="7"/>
      <c r="V54" s="7"/>
      <c r="W54" s="7"/>
      <c r="X54" s="13"/>
    </row>
    <row r="55" spans="4:24" s="1" customFormat="1" x14ac:dyDescent="0.2">
      <c r="D55" s="7"/>
      <c r="E55" s="6"/>
      <c r="H55" s="11"/>
      <c r="I55" s="8"/>
      <c r="S55" s="7"/>
      <c r="T55" s="7"/>
      <c r="U55" s="7"/>
      <c r="V55" s="7"/>
      <c r="W55" s="7"/>
      <c r="X55" s="13"/>
    </row>
    <row r="56" spans="4:24" s="1" customFormat="1" x14ac:dyDescent="0.2">
      <c r="D56" s="7"/>
      <c r="E56" s="6"/>
      <c r="H56" s="11"/>
      <c r="I56" s="8"/>
      <c r="S56" s="7"/>
      <c r="T56" s="7"/>
      <c r="U56" s="7"/>
      <c r="V56" s="7"/>
      <c r="W56" s="7"/>
      <c r="X56" s="13"/>
    </row>
    <row r="57" spans="4:24" s="1" customFormat="1" x14ac:dyDescent="0.2">
      <c r="D57" s="7"/>
      <c r="E57" s="6"/>
      <c r="H57" s="11"/>
      <c r="I57" s="8"/>
      <c r="S57" s="7"/>
      <c r="T57" s="7"/>
      <c r="U57" s="7"/>
      <c r="V57" s="7"/>
      <c r="W57" s="7"/>
      <c r="X57" s="13"/>
    </row>
    <row r="58" spans="4:24" s="1" customFormat="1" x14ac:dyDescent="0.2">
      <c r="D58" s="7"/>
      <c r="E58" s="6"/>
      <c r="H58" s="11"/>
      <c r="I58" s="8"/>
      <c r="S58" s="7"/>
      <c r="T58" s="7"/>
      <c r="U58" s="7"/>
      <c r="V58" s="7"/>
      <c r="W58" s="7"/>
      <c r="X58" s="13"/>
    </row>
    <row r="59" spans="4:24" s="1" customFormat="1" x14ac:dyDescent="0.2">
      <c r="D59" s="7"/>
      <c r="E59" s="6"/>
      <c r="H59" s="11"/>
      <c r="I59" s="8"/>
      <c r="S59" s="7"/>
      <c r="T59" s="7"/>
      <c r="U59" s="7"/>
      <c r="V59" s="7"/>
      <c r="W59" s="7"/>
      <c r="X59" s="13"/>
    </row>
    <row r="60" spans="4:24" s="1" customFormat="1" x14ac:dyDescent="0.2">
      <c r="D60" s="7"/>
      <c r="E60" s="6"/>
      <c r="H60" s="11"/>
      <c r="I60" s="8"/>
      <c r="S60" s="7"/>
      <c r="T60" s="7"/>
      <c r="U60" s="7"/>
      <c r="V60" s="7"/>
      <c r="W60" s="7"/>
      <c r="X60" s="13"/>
    </row>
    <row r="61" spans="4:24" s="1" customFormat="1" x14ac:dyDescent="0.2">
      <c r="D61" s="7"/>
      <c r="E61" s="6"/>
      <c r="H61" s="11"/>
      <c r="I61" s="8"/>
      <c r="S61" s="7"/>
      <c r="T61" s="7"/>
      <c r="U61" s="7"/>
      <c r="V61" s="7"/>
      <c r="W61" s="7"/>
      <c r="X61" s="13"/>
    </row>
    <row r="62" spans="4:24" s="1" customFormat="1" x14ac:dyDescent="0.2">
      <c r="D62" s="7"/>
      <c r="E62" s="6"/>
      <c r="H62" s="11"/>
      <c r="I62" s="8"/>
      <c r="S62" s="7"/>
      <c r="T62" s="7"/>
      <c r="U62" s="7"/>
      <c r="V62" s="7"/>
      <c r="W62" s="7"/>
      <c r="X62" s="13"/>
    </row>
    <row r="63" spans="4:24" s="1" customFormat="1" x14ac:dyDescent="0.2">
      <c r="D63" s="7"/>
      <c r="E63" s="6"/>
      <c r="H63" s="11"/>
      <c r="I63" s="8"/>
      <c r="S63" s="7"/>
      <c r="T63" s="7"/>
      <c r="U63" s="7"/>
      <c r="V63" s="7"/>
      <c r="W63" s="7"/>
      <c r="X63" s="13"/>
    </row>
    <row r="64" spans="4:24" s="1" customFormat="1" x14ac:dyDescent="0.2">
      <c r="D64" s="7"/>
      <c r="E64" s="6"/>
      <c r="H64" s="11"/>
      <c r="I64" s="8"/>
      <c r="S64" s="7"/>
      <c r="T64" s="7"/>
      <c r="U64" s="7"/>
      <c r="V64" s="7"/>
      <c r="W64" s="7"/>
      <c r="X64" s="13"/>
    </row>
    <row r="65" spans="4:24" s="1" customFormat="1" x14ac:dyDescent="0.2">
      <c r="D65" s="7"/>
      <c r="E65" s="6"/>
      <c r="H65" s="11"/>
      <c r="I65" s="8"/>
      <c r="S65" s="7"/>
      <c r="T65" s="7"/>
      <c r="U65" s="7"/>
      <c r="V65" s="7"/>
      <c r="W65" s="7"/>
      <c r="X65" s="13"/>
    </row>
    <row r="66" spans="4:24" s="1" customFormat="1" x14ac:dyDescent="0.2">
      <c r="D66" s="7"/>
      <c r="E66" s="6"/>
      <c r="H66" s="11"/>
      <c r="I66" s="8"/>
      <c r="S66" s="7"/>
      <c r="T66" s="7"/>
      <c r="U66" s="7"/>
      <c r="V66" s="7"/>
      <c r="W66" s="7"/>
      <c r="X66" s="13"/>
    </row>
    <row r="67" spans="4:24" s="1" customFormat="1" x14ac:dyDescent="0.2">
      <c r="D67" s="7"/>
      <c r="E67" s="6"/>
      <c r="H67" s="11"/>
      <c r="I67" s="8"/>
      <c r="S67" s="7"/>
      <c r="T67" s="7"/>
      <c r="U67" s="7"/>
      <c r="V67" s="7"/>
      <c r="W67" s="7"/>
      <c r="X67" s="13"/>
    </row>
    <row r="68" spans="4:24" s="1" customFormat="1" x14ac:dyDescent="0.2">
      <c r="D68" s="7"/>
      <c r="E68" s="6"/>
      <c r="H68" s="11"/>
      <c r="I68" s="8"/>
      <c r="S68" s="7"/>
      <c r="T68" s="7"/>
      <c r="U68" s="7"/>
      <c r="V68" s="7"/>
      <c r="W68" s="7"/>
      <c r="X68" s="13"/>
    </row>
    <row r="69" spans="4:24" s="1" customFormat="1" x14ac:dyDescent="0.2">
      <c r="D69" s="7"/>
      <c r="E69" s="6"/>
      <c r="H69" s="11"/>
      <c r="I69" s="8"/>
      <c r="S69" s="7"/>
      <c r="T69" s="7"/>
      <c r="U69" s="7"/>
      <c r="V69" s="7"/>
      <c r="W69" s="7"/>
      <c r="X69" s="13"/>
    </row>
    <row r="70" spans="4:24" s="1" customFormat="1" x14ac:dyDescent="0.2">
      <c r="D70" s="7"/>
      <c r="E70" s="6"/>
      <c r="H70" s="11"/>
      <c r="I70" s="8"/>
      <c r="S70" s="7"/>
      <c r="T70" s="7"/>
      <c r="U70" s="7"/>
      <c r="V70" s="7"/>
      <c r="W70" s="7"/>
      <c r="X70" s="13"/>
    </row>
    <row r="71" spans="4:24" s="1" customFormat="1" x14ac:dyDescent="0.2">
      <c r="D71" s="7"/>
      <c r="E71" s="6"/>
      <c r="H71" s="11"/>
      <c r="I71" s="8"/>
      <c r="S71" s="7"/>
      <c r="T71" s="7"/>
      <c r="U71" s="7"/>
      <c r="V71" s="7"/>
      <c r="W71" s="7"/>
      <c r="X71" s="13"/>
    </row>
    <row r="72" spans="4:24" s="1" customFormat="1" x14ac:dyDescent="0.2">
      <c r="D72" s="7"/>
      <c r="E72" s="6"/>
      <c r="H72" s="11"/>
      <c r="I72" s="8"/>
      <c r="S72" s="7"/>
      <c r="T72" s="7"/>
      <c r="U72" s="7"/>
      <c r="V72" s="7"/>
      <c r="W72" s="7"/>
      <c r="X72" s="13"/>
    </row>
    <row r="73" spans="4:24" s="1" customFormat="1" x14ac:dyDescent="0.2">
      <c r="D73" s="7"/>
      <c r="E73" s="6"/>
      <c r="H73" s="11"/>
      <c r="I73" s="8"/>
      <c r="S73" s="7"/>
      <c r="T73" s="7"/>
      <c r="U73" s="7"/>
      <c r="V73" s="7"/>
      <c r="W73" s="7"/>
      <c r="X73" s="13"/>
    </row>
    <row r="74" spans="4:24" s="1" customFormat="1" x14ac:dyDescent="0.2">
      <c r="D74" s="7"/>
      <c r="E74" s="6"/>
      <c r="H74" s="11"/>
      <c r="I74" s="8"/>
      <c r="S74" s="7"/>
      <c r="T74" s="7"/>
      <c r="U74" s="7"/>
      <c r="V74" s="7"/>
      <c r="W74" s="7"/>
      <c r="X74" s="13"/>
    </row>
    <row r="75" spans="4:24" s="1" customFormat="1" x14ac:dyDescent="0.2">
      <c r="D75" s="7"/>
      <c r="E75" s="6"/>
      <c r="H75" s="11"/>
      <c r="I75" s="8"/>
      <c r="S75" s="7"/>
      <c r="T75" s="7"/>
      <c r="U75" s="7"/>
      <c r="V75" s="7"/>
      <c r="W75" s="7"/>
      <c r="X75" s="13"/>
    </row>
    <row r="76" spans="4:24" s="1" customFormat="1" x14ac:dyDescent="0.2">
      <c r="D76" s="7"/>
      <c r="E76" s="6"/>
      <c r="H76" s="11"/>
      <c r="I76" s="8"/>
      <c r="S76" s="7"/>
      <c r="T76" s="7"/>
      <c r="U76" s="7"/>
      <c r="V76" s="7"/>
      <c r="W76" s="7"/>
      <c r="X76" s="13"/>
    </row>
    <row r="77" spans="4:24" s="1" customFormat="1" x14ac:dyDescent="0.2">
      <c r="D77" s="7"/>
      <c r="E77" s="6"/>
      <c r="H77" s="11"/>
      <c r="I77" s="8"/>
      <c r="S77" s="7"/>
      <c r="T77" s="7"/>
      <c r="U77" s="7"/>
      <c r="V77" s="7"/>
      <c r="W77" s="7"/>
      <c r="X77" s="13"/>
    </row>
    <row r="78" spans="4:24" s="1" customFormat="1" x14ac:dyDescent="0.2">
      <c r="D78" s="7"/>
      <c r="E78" s="6"/>
      <c r="H78" s="11"/>
      <c r="I78" s="8"/>
      <c r="S78" s="7"/>
      <c r="T78" s="7"/>
      <c r="U78" s="7"/>
      <c r="V78" s="7"/>
      <c r="W78" s="7"/>
      <c r="X78" s="13"/>
    </row>
    <row r="79" spans="4:24" s="1" customFormat="1" x14ac:dyDescent="0.2">
      <c r="D79" s="7"/>
      <c r="E79" s="6"/>
      <c r="H79" s="11"/>
      <c r="I79" s="8"/>
      <c r="S79" s="7"/>
      <c r="T79" s="7"/>
      <c r="U79" s="7"/>
      <c r="V79" s="7"/>
      <c r="W79" s="7"/>
      <c r="X79" s="13"/>
    </row>
    <row r="80" spans="4:24" s="1" customFormat="1" x14ac:dyDescent="0.2">
      <c r="D80" s="7"/>
      <c r="E80" s="6"/>
      <c r="H80" s="11"/>
      <c r="I80" s="8"/>
      <c r="S80" s="7"/>
      <c r="T80" s="7"/>
      <c r="U80" s="7"/>
      <c r="V80" s="7"/>
      <c r="W80" s="7"/>
      <c r="X80" s="13"/>
    </row>
    <row r="81" spans="4:24" s="1" customFormat="1" x14ac:dyDescent="0.2">
      <c r="D81" s="7"/>
      <c r="E81" s="6"/>
      <c r="H81" s="11"/>
      <c r="I81" s="8"/>
      <c r="S81" s="7"/>
      <c r="T81" s="7"/>
      <c r="U81" s="7"/>
      <c r="V81" s="7"/>
      <c r="W81" s="7"/>
      <c r="X81" s="13"/>
    </row>
    <row r="82" spans="4:24" s="1" customFormat="1" x14ac:dyDescent="0.2">
      <c r="D82" s="7"/>
      <c r="E82" s="6"/>
      <c r="H82" s="11"/>
      <c r="I82" s="8"/>
      <c r="S82" s="7"/>
      <c r="T82" s="7"/>
      <c r="U82" s="7"/>
      <c r="V82" s="7"/>
      <c r="W82" s="7"/>
      <c r="X82" s="13"/>
    </row>
    <row r="83" spans="4:24" s="1" customFormat="1" x14ac:dyDescent="0.2">
      <c r="D83" s="7"/>
      <c r="E83" s="6"/>
      <c r="H83" s="11"/>
      <c r="I83" s="8"/>
      <c r="S83" s="7"/>
      <c r="T83" s="7"/>
      <c r="U83" s="7"/>
      <c r="V83" s="7"/>
      <c r="W83" s="7"/>
      <c r="X83" s="13"/>
    </row>
    <row r="84" spans="4:24" s="1" customFormat="1" x14ac:dyDescent="0.2">
      <c r="D84" s="7"/>
      <c r="E84" s="6"/>
      <c r="H84" s="11"/>
      <c r="I84" s="8"/>
      <c r="S84" s="7"/>
      <c r="T84" s="7"/>
      <c r="U84" s="7"/>
      <c r="V84" s="7"/>
      <c r="W84" s="7"/>
      <c r="X84" s="13"/>
    </row>
    <row r="85" spans="4:24" s="1" customFormat="1" x14ac:dyDescent="0.2">
      <c r="D85" s="7"/>
      <c r="E85" s="6"/>
      <c r="H85" s="11"/>
      <c r="I85" s="8"/>
      <c r="S85" s="7"/>
      <c r="T85" s="7"/>
      <c r="U85" s="7"/>
      <c r="V85" s="7"/>
      <c r="W85" s="7"/>
      <c r="X85" s="13"/>
    </row>
    <row r="86" spans="4:24" s="1" customFormat="1" x14ac:dyDescent="0.2">
      <c r="D86" s="7"/>
      <c r="E86" s="6"/>
      <c r="H86" s="11"/>
      <c r="I86" s="8"/>
      <c r="S86" s="7"/>
      <c r="T86" s="7"/>
      <c r="U86" s="7"/>
      <c r="V86" s="7"/>
      <c r="W86" s="7"/>
      <c r="X86" s="13"/>
    </row>
    <row r="87" spans="4:24" s="1" customFormat="1" x14ac:dyDescent="0.2">
      <c r="D87" s="7"/>
      <c r="E87" s="6"/>
      <c r="H87" s="11"/>
      <c r="I87" s="8"/>
      <c r="S87" s="7"/>
      <c r="T87" s="7"/>
      <c r="U87" s="7"/>
      <c r="V87" s="7"/>
      <c r="W87" s="7"/>
      <c r="X87" s="13"/>
    </row>
    <row r="88" spans="4:24" s="1" customFormat="1" x14ac:dyDescent="0.2">
      <c r="D88" s="7"/>
      <c r="E88" s="6"/>
      <c r="H88" s="11"/>
      <c r="I88" s="8"/>
      <c r="S88" s="7"/>
      <c r="T88" s="7"/>
      <c r="U88" s="7"/>
      <c r="V88" s="7"/>
      <c r="W88" s="7"/>
      <c r="X88" s="13"/>
    </row>
    <row r="89" spans="4:24" s="1" customFormat="1" x14ac:dyDescent="0.2">
      <c r="D89" s="7"/>
      <c r="E89" s="6"/>
      <c r="H89" s="11"/>
      <c r="I89" s="8"/>
      <c r="S89" s="7"/>
      <c r="T89" s="7"/>
      <c r="U89" s="7"/>
      <c r="V89" s="7"/>
      <c r="W89" s="7"/>
      <c r="X89" s="13"/>
    </row>
    <row r="90" spans="4:24" s="1" customFormat="1" x14ac:dyDescent="0.2">
      <c r="D90" s="7"/>
      <c r="E90" s="6"/>
      <c r="H90" s="11"/>
      <c r="I90" s="8"/>
      <c r="S90" s="7"/>
      <c r="T90" s="7"/>
      <c r="U90" s="7"/>
      <c r="V90" s="7"/>
      <c r="W90" s="7"/>
      <c r="X90" s="13"/>
    </row>
    <row r="91" spans="4:24" s="1" customFormat="1" x14ac:dyDescent="0.2">
      <c r="D91" s="7"/>
      <c r="E91" s="6"/>
      <c r="H91" s="11"/>
      <c r="I91" s="8"/>
      <c r="S91" s="7"/>
      <c r="T91" s="7"/>
      <c r="U91" s="7"/>
      <c r="V91" s="7"/>
      <c r="W91" s="7"/>
      <c r="X91" s="13"/>
    </row>
    <row r="92" spans="4:24" s="1" customFormat="1" x14ac:dyDescent="0.2">
      <c r="D92" s="7"/>
      <c r="E92" s="6"/>
      <c r="H92" s="11"/>
      <c r="I92" s="8"/>
      <c r="S92" s="7"/>
      <c r="T92" s="7"/>
      <c r="U92" s="7"/>
      <c r="V92" s="7"/>
      <c r="W92" s="7"/>
      <c r="X92" s="13"/>
    </row>
    <row r="93" spans="4:24" s="1" customFormat="1" x14ac:dyDescent="0.2">
      <c r="D93" s="7"/>
      <c r="E93" s="6"/>
      <c r="H93" s="11"/>
      <c r="I93" s="8"/>
      <c r="S93" s="7"/>
      <c r="T93" s="7"/>
      <c r="U93" s="7"/>
      <c r="V93" s="7"/>
      <c r="W93" s="7"/>
      <c r="X93" s="13"/>
    </row>
    <row r="94" spans="4:24" s="1" customFormat="1" x14ac:dyDescent="0.2">
      <c r="D94" s="7"/>
      <c r="E94" s="6"/>
      <c r="H94" s="11"/>
      <c r="I94" s="8"/>
      <c r="S94" s="7"/>
      <c r="T94" s="7"/>
      <c r="U94" s="7"/>
      <c r="V94" s="7"/>
      <c r="W94" s="7"/>
      <c r="X94" s="13"/>
    </row>
    <row r="95" spans="4:24" s="1" customFormat="1" x14ac:dyDescent="0.2">
      <c r="D95" s="7"/>
      <c r="E95" s="6"/>
      <c r="H95" s="11"/>
      <c r="I95" s="8"/>
      <c r="S95" s="7"/>
      <c r="T95" s="7"/>
      <c r="U95" s="7"/>
      <c r="V95" s="7"/>
      <c r="W95" s="7"/>
      <c r="X95" s="13"/>
    </row>
    <row r="96" spans="4:24" s="1" customFormat="1" x14ac:dyDescent="0.2">
      <c r="D96" s="7"/>
      <c r="E96" s="6"/>
      <c r="H96" s="11"/>
      <c r="I96" s="8"/>
      <c r="S96" s="7"/>
      <c r="T96" s="7"/>
      <c r="U96" s="7"/>
      <c r="V96" s="7"/>
      <c r="W96" s="7"/>
      <c r="X96" s="13"/>
    </row>
    <row r="97" spans="4:24" s="1" customFormat="1" x14ac:dyDescent="0.2">
      <c r="D97" s="7"/>
      <c r="E97" s="6"/>
      <c r="H97" s="11"/>
      <c r="I97" s="8"/>
      <c r="S97" s="7"/>
      <c r="T97" s="7"/>
      <c r="U97" s="7"/>
      <c r="V97" s="7"/>
      <c r="W97" s="7"/>
      <c r="X97" s="13"/>
    </row>
    <row r="98" spans="4:24" s="1" customFormat="1" x14ac:dyDescent="0.2">
      <c r="D98" s="7"/>
      <c r="E98" s="6"/>
      <c r="H98" s="11"/>
      <c r="I98" s="8"/>
      <c r="S98" s="7"/>
      <c r="T98" s="7"/>
      <c r="U98" s="7"/>
      <c r="V98" s="7"/>
      <c r="W98" s="7"/>
      <c r="X98" s="13"/>
    </row>
    <row r="99" spans="4:24" s="1" customFormat="1" x14ac:dyDescent="0.2">
      <c r="D99" s="7"/>
      <c r="E99" s="6"/>
      <c r="H99" s="11"/>
      <c r="I99" s="8"/>
      <c r="S99" s="7"/>
      <c r="T99" s="7"/>
      <c r="U99" s="7"/>
      <c r="V99" s="7"/>
      <c r="W99" s="7"/>
      <c r="X99" s="13"/>
    </row>
    <row r="100" spans="4:24" s="1" customFormat="1" x14ac:dyDescent="0.2">
      <c r="D100" s="7"/>
      <c r="E100" s="6"/>
      <c r="H100" s="11"/>
      <c r="I100" s="8"/>
      <c r="S100" s="7"/>
      <c r="T100" s="7"/>
      <c r="U100" s="7"/>
      <c r="V100" s="7"/>
      <c r="W100" s="7"/>
      <c r="X100" s="13"/>
    </row>
    <row r="101" spans="4:24" s="1" customFormat="1" x14ac:dyDescent="0.2">
      <c r="D101" s="7"/>
      <c r="E101" s="6"/>
      <c r="H101" s="11"/>
      <c r="I101" s="8"/>
      <c r="S101" s="7"/>
      <c r="T101" s="7"/>
      <c r="U101" s="7"/>
      <c r="V101" s="7"/>
      <c r="W101" s="7"/>
      <c r="X101" s="13"/>
    </row>
    <row r="102" spans="4:24" s="1" customFormat="1" x14ac:dyDescent="0.2">
      <c r="D102" s="7"/>
      <c r="E102" s="6"/>
      <c r="H102" s="11"/>
      <c r="I102" s="8"/>
      <c r="S102" s="7"/>
      <c r="T102" s="7"/>
      <c r="U102" s="7"/>
      <c r="V102" s="7"/>
      <c r="W102" s="7"/>
      <c r="X102" s="13"/>
    </row>
    <row r="103" spans="4:24" s="1" customFormat="1" x14ac:dyDescent="0.2">
      <c r="D103" s="7"/>
      <c r="E103" s="6"/>
      <c r="H103" s="11"/>
      <c r="I103" s="8"/>
      <c r="S103" s="7"/>
      <c r="T103" s="7"/>
      <c r="U103" s="7"/>
      <c r="V103" s="7"/>
      <c r="W103" s="7"/>
      <c r="X103" s="13"/>
    </row>
    <row r="104" spans="4:24" s="1" customFormat="1" x14ac:dyDescent="0.2">
      <c r="D104" s="7"/>
      <c r="E104" s="6"/>
      <c r="H104" s="11"/>
      <c r="I104" s="8"/>
      <c r="S104" s="7"/>
      <c r="T104" s="7"/>
      <c r="U104" s="7"/>
      <c r="V104" s="7"/>
      <c r="W104" s="7"/>
      <c r="X104" s="13"/>
    </row>
    <row r="105" spans="4:24" s="1" customFormat="1" x14ac:dyDescent="0.2">
      <c r="D105" s="7"/>
      <c r="E105" s="6"/>
      <c r="H105" s="11"/>
      <c r="I105" s="8"/>
      <c r="S105" s="7"/>
      <c r="T105" s="7"/>
      <c r="U105" s="7"/>
      <c r="V105" s="7"/>
      <c r="W105" s="7"/>
      <c r="X105" s="13"/>
    </row>
    <row r="106" spans="4:24" s="1" customFormat="1" x14ac:dyDescent="0.2">
      <c r="D106" s="7"/>
      <c r="E106" s="6"/>
      <c r="H106" s="11"/>
      <c r="I106" s="8"/>
      <c r="S106" s="7"/>
      <c r="T106" s="7"/>
      <c r="U106" s="7"/>
      <c r="V106" s="7"/>
      <c r="W106" s="7"/>
      <c r="X106" s="13"/>
    </row>
    <row r="107" spans="4:24" s="1" customFormat="1" x14ac:dyDescent="0.2">
      <c r="D107" s="7"/>
      <c r="E107" s="6"/>
      <c r="H107" s="11"/>
      <c r="I107" s="8"/>
      <c r="S107" s="7"/>
      <c r="T107" s="7"/>
      <c r="U107" s="7"/>
      <c r="V107" s="7"/>
      <c r="W107" s="7"/>
      <c r="X107" s="13"/>
    </row>
    <row r="108" spans="4:24" s="1" customFormat="1" x14ac:dyDescent="0.2">
      <c r="D108" s="7"/>
      <c r="E108" s="6"/>
      <c r="H108" s="11"/>
      <c r="I108" s="8"/>
      <c r="S108" s="7"/>
      <c r="T108" s="7"/>
      <c r="U108" s="7"/>
      <c r="V108" s="7"/>
      <c r="W108" s="7"/>
      <c r="X108" s="13"/>
    </row>
    <row r="109" spans="4:24" s="1" customFormat="1" x14ac:dyDescent="0.2">
      <c r="D109" s="7"/>
      <c r="E109" s="6"/>
      <c r="H109" s="11"/>
      <c r="I109" s="8"/>
      <c r="S109" s="7"/>
      <c r="T109" s="7"/>
      <c r="U109" s="7"/>
      <c r="V109" s="7"/>
      <c r="W109" s="7"/>
      <c r="X109" s="13"/>
    </row>
    <row r="110" spans="4:24" s="1" customFormat="1" x14ac:dyDescent="0.2">
      <c r="D110" s="7"/>
      <c r="E110" s="6"/>
      <c r="H110" s="11"/>
      <c r="I110" s="8"/>
      <c r="S110" s="7"/>
      <c r="T110" s="7"/>
      <c r="U110" s="7"/>
      <c r="V110" s="7"/>
      <c r="W110" s="7"/>
      <c r="X110" s="13"/>
    </row>
    <row r="111" spans="4:24" s="1" customFormat="1" x14ac:dyDescent="0.2">
      <c r="D111" s="7"/>
      <c r="E111" s="6"/>
      <c r="H111" s="11"/>
      <c r="I111" s="8"/>
      <c r="S111" s="7"/>
      <c r="T111" s="7"/>
      <c r="U111" s="7"/>
      <c r="V111" s="7"/>
      <c r="W111" s="7"/>
      <c r="X111" s="13"/>
    </row>
    <row r="112" spans="4:24" s="1" customFormat="1" x14ac:dyDescent="0.2">
      <c r="D112" s="7"/>
      <c r="E112" s="6"/>
      <c r="H112" s="11"/>
      <c r="I112" s="8"/>
      <c r="S112" s="7"/>
      <c r="T112" s="7"/>
      <c r="U112" s="7"/>
      <c r="V112" s="7"/>
      <c r="W112" s="7"/>
      <c r="X112" s="13"/>
    </row>
    <row r="113" spans="4:24" s="1" customFormat="1" x14ac:dyDescent="0.2">
      <c r="D113" s="7"/>
      <c r="E113" s="6"/>
      <c r="H113" s="11"/>
      <c r="I113" s="8"/>
      <c r="S113" s="7"/>
      <c r="T113" s="7"/>
      <c r="U113" s="7"/>
      <c r="V113" s="7"/>
      <c r="W113" s="7"/>
      <c r="X113" s="13"/>
    </row>
    <row r="114" spans="4:24" s="1" customFormat="1" x14ac:dyDescent="0.2">
      <c r="D114" s="7"/>
      <c r="E114" s="6"/>
      <c r="H114" s="11"/>
      <c r="I114" s="8"/>
      <c r="S114" s="7"/>
      <c r="T114" s="7"/>
      <c r="U114" s="7"/>
      <c r="V114" s="7"/>
      <c r="W114" s="7"/>
      <c r="X114" s="13"/>
    </row>
    <row r="115" spans="4:24" s="1" customFormat="1" x14ac:dyDescent="0.2">
      <c r="D115" s="7"/>
      <c r="E115" s="6"/>
      <c r="H115" s="11"/>
      <c r="I115" s="8"/>
      <c r="S115" s="7"/>
      <c r="T115" s="7"/>
      <c r="U115" s="7"/>
      <c r="V115" s="7"/>
      <c r="W115" s="7"/>
      <c r="X115" s="13"/>
    </row>
    <row r="116" spans="4:24" s="1" customFormat="1" x14ac:dyDescent="0.2">
      <c r="D116" s="7"/>
      <c r="E116" s="6"/>
      <c r="H116" s="11"/>
      <c r="I116" s="8"/>
      <c r="S116" s="7"/>
      <c r="T116" s="7"/>
      <c r="U116" s="7"/>
      <c r="V116" s="7"/>
      <c r="W116" s="7"/>
      <c r="X116" s="13"/>
    </row>
    <row r="117" spans="4:24" s="1" customFormat="1" x14ac:dyDescent="0.2">
      <c r="D117" s="7"/>
      <c r="E117" s="6"/>
      <c r="H117" s="11"/>
      <c r="I117" s="8"/>
      <c r="S117" s="7"/>
      <c r="T117" s="7"/>
      <c r="U117" s="7"/>
      <c r="V117" s="7"/>
      <c r="W117" s="7"/>
      <c r="X117" s="13"/>
    </row>
    <row r="118" spans="4:24" s="1" customFormat="1" x14ac:dyDescent="0.2">
      <c r="D118" s="7"/>
      <c r="E118" s="6"/>
      <c r="H118" s="11"/>
      <c r="I118" s="8"/>
      <c r="S118" s="7"/>
      <c r="T118" s="7"/>
      <c r="U118" s="7"/>
      <c r="V118" s="7"/>
      <c r="W118" s="7"/>
      <c r="X118" s="13"/>
    </row>
    <row r="119" spans="4:24" s="1" customFormat="1" x14ac:dyDescent="0.2">
      <c r="D119" s="7"/>
      <c r="E119" s="6"/>
      <c r="H119" s="11"/>
      <c r="I119" s="8"/>
      <c r="S119" s="7"/>
      <c r="T119" s="7"/>
      <c r="U119" s="7"/>
      <c r="V119" s="7"/>
      <c r="W119" s="7"/>
      <c r="X119" s="13"/>
    </row>
    <row r="120" spans="4:24" s="1" customFormat="1" x14ac:dyDescent="0.2">
      <c r="D120" s="7"/>
      <c r="E120" s="6"/>
      <c r="H120" s="11"/>
      <c r="I120" s="8"/>
      <c r="S120" s="7"/>
      <c r="T120" s="7"/>
      <c r="U120" s="7"/>
      <c r="V120" s="7"/>
      <c r="W120" s="7"/>
      <c r="X120" s="13"/>
    </row>
    <row r="121" spans="4:24" s="1" customFormat="1" x14ac:dyDescent="0.2">
      <c r="D121" s="7"/>
      <c r="E121" s="6"/>
      <c r="H121" s="11"/>
      <c r="I121" s="8"/>
      <c r="S121" s="7"/>
      <c r="T121" s="7"/>
      <c r="U121" s="7"/>
      <c r="V121" s="7"/>
      <c r="W121" s="7"/>
      <c r="X121" s="13"/>
    </row>
    <row r="122" spans="4:24" s="1" customFormat="1" x14ac:dyDescent="0.2">
      <c r="D122" s="7"/>
      <c r="E122" s="6"/>
      <c r="H122" s="11"/>
      <c r="I122" s="8"/>
      <c r="S122" s="7"/>
      <c r="T122" s="7"/>
      <c r="U122" s="7"/>
      <c r="V122" s="7"/>
      <c r="W122" s="7"/>
      <c r="X122" s="13"/>
    </row>
    <row r="123" spans="4:24" s="1" customFormat="1" x14ac:dyDescent="0.2">
      <c r="D123" s="7"/>
      <c r="E123" s="6"/>
      <c r="H123" s="11"/>
      <c r="I123" s="8"/>
      <c r="S123" s="7"/>
      <c r="T123" s="7"/>
      <c r="U123" s="7"/>
      <c r="V123" s="7"/>
      <c r="W123" s="7"/>
      <c r="X123" s="13"/>
    </row>
    <row r="124" spans="4:24" s="1" customFormat="1" x14ac:dyDescent="0.2">
      <c r="D124" s="7"/>
      <c r="E124" s="6"/>
      <c r="H124" s="11"/>
      <c r="I124" s="8"/>
      <c r="S124" s="7"/>
      <c r="T124" s="7"/>
      <c r="U124" s="7"/>
      <c r="V124" s="7"/>
      <c r="W124" s="7"/>
      <c r="X124" s="13"/>
    </row>
    <row r="125" spans="4:24" s="1" customFormat="1" x14ac:dyDescent="0.2">
      <c r="D125" s="7"/>
      <c r="E125" s="6"/>
      <c r="H125" s="11"/>
      <c r="I125" s="8"/>
      <c r="S125" s="7"/>
      <c r="T125" s="7"/>
      <c r="U125" s="7"/>
      <c r="V125" s="7"/>
      <c r="W125" s="7"/>
      <c r="X125" s="13"/>
    </row>
    <row r="126" spans="4:24" s="1" customFormat="1" x14ac:dyDescent="0.2">
      <c r="D126" s="7"/>
      <c r="E126" s="6"/>
      <c r="H126" s="11"/>
      <c r="I126" s="8"/>
      <c r="S126" s="7"/>
      <c r="T126" s="7"/>
      <c r="U126" s="7"/>
      <c r="V126" s="7"/>
      <c r="W126" s="7"/>
      <c r="X126" s="13"/>
    </row>
    <row r="127" spans="4:24" s="1" customFormat="1" x14ac:dyDescent="0.2">
      <c r="D127" s="7"/>
      <c r="E127" s="6"/>
      <c r="H127" s="11"/>
      <c r="I127" s="8"/>
      <c r="S127" s="7"/>
      <c r="T127" s="7"/>
      <c r="U127" s="7"/>
      <c r="V127" s="7"/>
      <c r="W127" s="7"/>
      <c r="X127" s="13"/>
    </row>
    <row r="128" spans="4:24" s="1" customFormat="1" x14ac:dyDescent="0.2">
      <c r="D128" s="7"/>
      <c r="E128" s="6"/>
      <c r="H128" s="11"/>
      <c r="I128" s="8"/>
      <c r="S128" s="7"/>
      <c r="T128" s="7"/>
      <c r="U128" s="7"/>
      <c r="V128" s="7"/>
      <c r="W128" s="7"/>
      <c r="X128" s="13"/>
    </row>
    <row r="129" spans="4:24" s="1" customFormat="1" x14ac:dyDescent="0.2">
      <c r="D129" s="7"/>
      <c r="E129" s="6"/>
      <c r="H129" s="11"/>
      <c r="I129" s="8"/>
      <c r="S129" s="7"/>
      <c r="T129" s="7"/>
      <c r="U129" s="7"/>
      <c r="V129" s="7"/>
      <c r="W129" s="7"/>
      <c r="X129" s="13"/>
    </row>
    <row r="130" spans="4:24" s="1" customFormat="1" x14ac:dyDescent="0.2">
      <c r="D130" s="7"/>
      <c r="E130" s="6"/>
      <c r="H130" s="11"/>
      <c r="I130" s="8"/>
      <c r="S130" s="7"/>
      <c r="T130" s="7"/>
      <c r="U130" s="7"/>
      <c r="V130" s="7"/>
      <c r="W130" s="7"/>
      <c r="X130" s="13"/>
    </row>
    <row r="131" spans="4:24" s="1" customFormat="1" x14ac:dyDescent="0.2">
      <c r="D131" s="7"/>
      <c r="E131" s="6"/>
      <c r="H131" s="11"/>
      <c r="I131" s="8"/>
      <c r="S131" s="7"/>
      <c r="T131" s="7"/>
      <c r="U131" s="7"/>
      <c r="V131" s="7"/>
      <c r="W131" s="7"/>
      <c r="X131" s="13"/>
    </row>
    <row r="132" spans="4:24" s="1" customFormat="1" x14ac:dyDescent="0.2">
      <c r="D132" s="7"/>
      <c r="E132" s="6"/>
      <c r="H132" s="11"/>
      <c r="I132" s="8"/>
      <c r="S132" s="7"/>
      <c r="T132" s="7"/>
      <c r="U132" s="7"/>
      <c r="V132" s="7"/>
      <c r="W132" s="7"/>
      <c r="X132" s="13"/>
    </row>
    <row r="133" spans="4:24" s="1" customFormat="1" x14ac:dyDescent="0.2">
      <c r="D133" s="7"/>
      <c r="E133" s="6"/>
      <c r="H133" s="11"/>
      <c r="I133" s="8"/>
      <c r="S133" s="7"/>
      <c r="T133" s="7"/>
      <c r="U133" s="7"/>
      <c r="V133" s="7"/>
      <c r="W133" s="7"/>
      <c r="X133" s="13"/>
    </row>
    <row r="134" spans="4:24" s="1" customFormat="1" x14ac:dyDescent="0.2">
      <c r="D134" s="7"/>
      <c r="E134" s="6"/>
      <c r="H134" s="11"/>
      <c r="I134" s="8"/>
      <c r="S134" s="7"/>
      <c r="T134" s="7"/>
      <c r="U134" s="7"/>
      <c r="V134" s="7"/>
      <c r="W134" s="7"/>
      <c r="X134" s="13"/>
    </row>
    <row r="135" spans="4:24" s="1" customFormat="1" x14ac:dyDescent="0.2">
      <c r="D135" s="7"/>
      <c r="E135" s="6"/>
      <c r="H135" s="11"/>
      <c r="I135" s="8"/>
      <c r="S135" s="7"/>
      <c r="T135" s="7"/>
      <c r="U135" s="7"/>
      <c r="V135" s="7"/>
      <c r="W135" s="7"/>
      <c r="X135" s="13"/>
    </row>
    <row r="136" spans="4:24" s="1" customFormat="1" x14ac:dyDescent="0.2">
      <c r="D136" s="7"/>
      <c r="E136" s="6"/>
      <c r="H136" s="11"/>
      <c r="I136" s="8"/>
      <c r="S136" s="7"/>
      <c r="T136" s="7"/>
      <c r="U136" s="7"/>
      <c r="V136" s="7"/>
      <c r="W136" s="7"/>
      <c r="X136" s="13"/>
    </row>
    <row r="137" spans="4:24" s="1" customFormat="1" x14ac:dyDescent="0.2">
      <c r="D137" s="7"/>
      <c r="E137" s="6"/>
      <c r="H137" s="11"/>
      <c r="I137" s="8"/>
      <c r="S137" s="7"/>
      <c r="T137" s="7"/>
      <c r="U137" s="7"/>
      <c r="V137" s="7"/>
      <c r="W137" s="7"/>
      <c r="X137" s="13"/>
    </row>
    <row r="138" spans="4:24" s="1" customFormat="1" x14ac:dyDescent="0.2">
      <c r="D138" s="7"/>
      <c r="E138" s="6"/>
      <c r="H138" s="11"/>
      <c r="I138" s="8"/>
      <c r="S138" s="7"/>
      <c r="T138" s="7"/>
      <c r="U138" s="7"/>
      <c r="V138" s="7"/>
      <c r="W138" s="7"/>
      <c r="X138" s="13"/>
    </row>
    <row r="139" spans="4:24" s="1" customFormat="1" x14ac:dyDescent="0.2">
      <c r="D139" s="7"/>
      <c r="E139" s="6"/>
      <c r="H139" s="11"/>
      <c r="I139" s="8"/>
      <c r="S139" s="7"/>
      <c r="T139" s="7"/>
      <c r="U139" s="7"/>
      <c r="V139" s="7"/>
      <c r="W139" s="7"/>
      <c r="X139" s="13"/>
    </row>
    <row r="140" spans="4:24" s="1" customFormat="1" x14ac:dyDescent="0.2">
      <c r="D140" s="7"/>
      <c r="E140" s="6"/>
      <c r="H140" s="11"/>
      <c r="I140" s="8"/>
      <c r="S140" s="7"/>
      <c r="T140" s="7"/>
      <c r="U140" s="7"/>
      <c r="V140" s="7"/>
      <c r="W140" s="7"/>
      <c r="X140" s="13"/>
    </row>
    <row r="141" spans="4:24" s="1" customFormat="1" x14ac:dyDescent="0.2">
      <c r="D141" s="7"/>
      <c r="E141" s="6"/>
      <c r="H141" s="11"/>
      <c r="I141" s="8"/>
      <c r="S141" s="7"/>
      <c r="T141" s="7"/>
      <c r="U141" s="7"/>
      <c r="V141" s="7"/>
      <c r="W141" s="7"/>
      <c r="X141" s="13"/>
    </row>
    <row r="142" spans="4:24" s="1" customFormat="1" x14ac:dyDescent="0.2">
      <c r="D142" s="7"/>
      <c r="E142" s="6"/>
      <c r="H142" s="11"/>
      <c r="I142" s="8"/>
      <c r="S142" s="7"/>
      <c r="T142" s="7"/>
      <c r="U142" s="7"/>
      <c r="V142" s="7"/>
      <c r="W142" s="7"/>
      <c r="X142" s="13"/>
    </row>
    <row r="143" spans="4:24" s="1" customFormat="1" x14ac:dyDescent="0.2">
      <c r="D143" s="7"/>
      <c r="E143" s="6"/>
      <c r="H143" s="11"/>
      <c r="I143" s="8"/>
      <c r="S143" s="7"/>
      <c r="T143" s="7"/>
      <c r="U143" s="7"/>
      <c r="V143" s="7"/>
      <c r="W143" s="7"/>
      <c r="X143" s="13"/>
    </row>
    <row r="144" spans="4:24" s="1" customFormat="1" x14ac:dyDescent="0.2">
      <c r="D144" s="7"/>
      <c r="E144" s="6"/>
      <c r="H144" s="11"/>
      <c r="I144" s="8"/>
      <c r="S144" s="7"/>
      <c r="T144" s="7"/>
      <c r="U144" s="7"/>
      <c r="V144" s="7"/>
      <c r="W144" s="7"/>
      <c r="X144" s="13"/>
    </row>
    <row r="145" spans="4:24" s="1" customFormat="1" x14ac:dyDescent="0.2">
      <c r="D145" s="7"/>
      <c r="E145" s="6"/>
      <c r="H145" s="11"/>
      <c r="I145" s="8"/>
      <c r="S145" s="7"/>
      <c r="T145" s="7"/>
      <c r="U145" s="7"/>
      <c r="V145" s="7"/>
      <c r="W145" s="7"/>
      <c r="X145" s="13"/>
    </row>
    <row r="146" spans="4:24" s="1" customFormat="1" x14ac:dyDescent="0.2">
      <c r="D146" s="7"/>
      <c r="E146" s="6"/>
      <c r="H146" s="11"/>
      <c r="I146" s="8"/>
      <c r="S146" s="7"/>
      <c r="T146" s="7"/>
      <c r="U146" s="7"/>
      <c r="V146" s="7"/>
      <c r="W146" s="7"/>
      <c r="X146" s="13"/>
    </row>
    <row r="147" spans="4:24" s="1" customFormat="1" x14ac:dyDescent="0.2">
      <c r="D147" s="7"/>
      <c r="E147" s="6"/>
      <c r="H147" s="11"/>
      <c r="I147" s="8"/>
      <c r="S147" s="7"/>
      <c r="T147" s="7"/>
      <c r="U147" s="7"/>
      <c r="V147" s="7"/>
      <c r="W147" s="7"/>
      <c r="X147" s="13"/>
    </row>
    <row r="148" spans="4:24" s="1" customFormat="1" x14ac:dyDescent="0.2">
      <c r="D148" s="7"/>
      <c r="E148" s="6"/>
      <c r="H148" s="11"/>
      <c r="I148" s="8"/>
      <c r="S148" s="7"/>
      <c r="T148" s="7"/>
      <c r="U148" s="7"/>
      <c r="V148" s="7"/>
      <c r="W148" s="7"/>
      <c r="X148" s="13"/>
    </row>
    <row r="149" spans="4:24" s="1" customFormat="1" x14ac:dyDescent="0.2">
      <c r="D149" s="7"/>
      <c r="E149" s="6"/>
      <c r="H149" s="11"/>
      <c r="I149" s="8"/>
      <c r="S149" s="7"/>
      <c r="T149" s="7"/>
      <c r="U149" s="7"/>
      <c r="V149" s="7"/>
      <c r="W149" s="7"/>
      <c r="X149" s="13"/>
    </row>
    <row r="150" spans="4:24" s="1" customFormat="1" x14ac:dyDescent="0.2">
      <c r="D150" s="7"/>
      <c r="E150" s="6"/>
      <c r="H150" s="11"/>
      <c r="I150" s="8"/>
      <c r="S150" s="7"/>
      <c r="T150" s="7"/>
      <c r="U150" s="7"/>
      <c r="V150" s="7"/>
      <c r="W150" s="7"/>
      <c r="X150" s="13"/>
    </row>
    <row r="151" spans="4:24" s="1" customFormat="1" x14ac:dyDescent="0.2">
      <c r="D151" s="7"/>
      <c r="E151" s="6"/>
      <c r="H151" s="11"/>
      <c r="I151" s="8"/>
      <c r="S151" s="7"/>
      <c r="T151" s="7"/>
      <c r="U151" s="7"/>
      <c r="V151" s="7"/>
      <c r="W151" s="7"/>
      <c r="X151" s="13"/>
    </row>
    <row r="152" spans="4:24" s="1" customFormat="1" x14ac:dyDescent="0.2">
      <c r="D152" s="7"/>
      <c r="E152" s="6"/>
      <c r="H152" s="11"/>
      <c r="I152" s="8"/>
      <c r="S152" s="7"/>
      <c r="T152" s="7"/>
      <c r="U152" s="7"/>
      <c r="V152" s="7"/>
      <c r="W152" s="7"/>
      <c r="X152" s="13"/>
    </row>
    <row r="153" spans="4:24" s="1" customFormat="1" x14ac:dyDescent="0.2">
      <c r="D153" s="7"/>
      <c r="E153" s="6"/>
      <c r="H153" s="11"/>
      <c r="I153" s="8"/>
      <c r="S153" s="7"/>
      <c r="T153" s="7"/>
      <c r="U153" s="7"/>
      <c r="V153" s="7"/>
      <c r="W153" s="7"/>
      <c r="X153" s="13"/>
    </row>
    <row r="154" spans="4:24" s="1" customFormat="1" x14ac:dyDescent="0.2">
      <c r="D154" s="7"/>
      <c r="E154" s="6"/>
      <c r="H154" s="11"/>
      <c r="I154" s="8"/>
      <c r="S154" s="7"/>
      <c r="T154" s="7"/>
      <c r="U154" s="7"/>
      <c r="V154" s="7"/>
      <c r="W154" s="7"/>
      <c r="X154" s="13"/>
    </row>
    <row r="155" spans="4:24" s="1" customFormat="1" x14ac:dyDescent="0.2">
      <c r="D155" s="7"/>
      <c r="E155" s="6"/>
      <c r="H155" s="11"/>
      <c r="I155" s="8"/>
      <c r="S155" s="7"/>
      <c r="T155" s="7"/>
      <c r="U155" s="7"/>
      <c r="V155" s="7"/>
      <c r="W155" s="7"/>
      <c r="X155" s="13"/>
    </row>
    <row r="156" spans="4:24" s="1" customFormat="1" x14ac:dyDescent="0.2">
      <c r="D156" s="7"/>
      <c r="E156" s="6"/>
      <c r="H156" s="11"/>
      <c r="I156" s="8"/>
      <c r="S156" s="7"/>
      <c r="T156" s="7"/>
      <c r="U156" s="7"/>
      <c r="V156" s="7"/>
      <c r="W156" s="7"/>
      <c r="X156" s="13"/>
    </row>
    <row r="157" spans="4:24" s="1" customFormat="1" x14ac:dyDescent="0.2">
      <c r="D157" s="7"/>
      <c r="E157" s="6"/>
      <c r="H157" s="11"/>
      <c r="I157" s="8"/>
      <c r="S157" s="7"/>
      <c r="T157" s="7"/>
      <c r="U157" s="7"/>
      <c r="V157" s="7"/>
      <c r="W157" s="7"/>
      <c r="X157" s="13"/>
    </row>
    <row r="158" spans="4:24" s="1" customFormat="1" x14ac:dyDescent="0.2">
      <c r="D158" s="7"/>
      <c r="E158" s="6"/>
      <c r="H158" s="11"/>
      <c r="I158" s="8"/>
      <c r="S158" s="7"/>
      <c r="T158" s="7"/>
      <c r="U158" s="7"/>
      <c r="V158" s="7"/>
      <c r="W158" s="7"/>
      <c r="X158" s="13"/>
    </row>
    <row r="159" spans="4:24" s="1" customFormat="1" x14ac:dyDescent="0.2">
      <c r="D159" s="7"/>
      <c r="E159" s="6"/>
      <c r="H159" s="11"/>
      <c r="I159" s="8"/>
      <c r="S159" s="7"/>
      <c r="T159" s="7"/>
      <c r="U159" s="7"/>
      <c r="V159" s="7"/>
      <c r="W159" s="7"/>
      <c r="X159" s="13"/>
    </row>
    <row r="160" spans="4:24" s="1" customFormat="1" x14ac:dyDescent="0.2">
      <c r="D160" s="7"/>
      <c r="E160" s="6"/>
      <c r="H160" s="11"/>
      <c r="I160" s="8"/>
      <c r="S160" s="7"/>
      <c r="T160" s="7"/>
      <c r="U160" s="7"/>
      <c r="V160" s="7"/>
      <c r="W160" s="7"/>
      <c r="X160" s="13"/>
    </row>
    <row r="161" spans="4:24" s="1" customFormat="1" x14ac:dyDescent="0.2">
      <c r="D161" s="7"/>
      <c r="E161" s="6"/>
      <c r="H161" s="11"/>
      <c r="I161" s="8"/>
      <c r="S161" s="7"/>
      <c r="T161" s="7"/>
      <c r="U161" s="7"/>
      <c r="V161" s="7"/>
      <c r="W161" s="7"/>
      <c r="X161" s="13"/>
    </row>
    <row r="162" spans="4:24" s="1" customFormat="1" x14ac:dyDescent="0.2">
      <c r="D162" s="7"/>
      <c r="E162" s="6"/>
      <c r="H162" s="11"/>
      <c r="I162" s="8"/>
      <c r="S162" s="7"/>
      <c r="T162" s="7"/>
      <c r="U162" s="7"/>
      <c r="V162" s="7"/>
      <c r="W162" s="7"/>
      <c r="X162" s="13"/>
    </row>
    <row r="163" spans="4:24" s="1" customFormat="1" x14ac:dyDescent="0.2">
      <c r="D163" s="7"/>
      <c r="E163" s="6"/>
      <c r="H163" s="11"/>
      <c r="I163" s="8"/>
      <c r="S163" s="7"/>
      <c r="T163" s="7"/>
      <c r="U163" s="7"/>
      <c r="V163" s="7"/>
      <c r="W163" s="7"/>
      <c r="X163" s="13"/>
    </row>
    <row r="164" spans="4:24" s="1" customFormat="1" x14ac:dyDescent="0.2">
      <c r="D164" s="7"/>
      <c r="E164" s="6"/>
      <c r="H164" s="11"/>
      <c r="I164" s="8"/>
      <c r="S164" s="7"/>
      <c r="T164" s="7"/>
      <c r="U164" s="7"/>
      <c r="V164" s="7"/>
      <c r="W164" s="7"/>
      <c r="X164" s="13"/>
    </row>
    <row r="165" spans="4:24" s="1" customFormat="1" x14ac:dyDescent="0.2">
      <c r="D165" s="7"/>
      <c r="E165" s="6"/>
      <c r="H165" s="11"/>
      <c r="I165" s="8"/>
      <c r="S165" s="7"/>
      <c r="T165" s="7"/>
      <c r="U165" s="7"/>
      <c r="V165" s="7"/>
      <c r="W165" s="7"/>
      <c r="X165" s="13"/>
    </row>
    <row r="166" spans="4:24" s="1" customFormat="1" x14ac:dyDescent="0.2">
      <c r="D166" s="7"/>
      <c r="E166" s="6"/>
      <c r="H166" s="11"/>
      <c r="I166" s="8"/>
      <c r="S166" s="7"/>
      <c r="T166" s="7"/>
      <c r="U166" s="7"/>
      <c r="V166" s="7"/>
      <c r="W166" s="7"/>
      <c r="X166" s="13"/>
    </row>
    <row r="167" spans="4:24" s="1" customFormat="1" x14ac:dyDescent="0.2">
      <c r="D167" s="7"/>
      <c r="E167" s="6"/>
      <c r="H167" s="11"/>
      <c r="I167" s="8"/>
      <c r="S167" s="7"/>
      <c r="T167" s="7"/>
      <c r="U167" s="7"/>
      <c r="V167" s="7"/>
      <c r="W167" s="7"/>
      <c r="X167" s="13"/>
    </row>
    <row r="168" spans="4:24" s="1" customFormat="1" x14ac:dyDescent="0.2">
      <c r="D168" s="7"/>
      <c r="E168" s="6"/>
      <c r="H168" s="11"/>
      <c r="I168" s="8"/>
      <c r="S168" s="7"/>
      <c r="T168" s="7"/>
      <c r="U168" s="7"/>
      <c r="V168" s="7"/>
      <c r="W168" s="7"/>
      <c r="X168" s="13"/>
    </row>
    <row r="169" spans="4:24" s="1" customFormat="1" x14ac:dyDescent="0.2">
      <c r="D169" s="7"/>
      <c r="E169" s="6"/>
      <c r="H169" s="11"/>
      <c r="I169" s="8"/>
      <c r="S169" s="7"/>
      <c r="T169" s="7"/>
      <c r="U169" s="7"/>
      <c r="V169" s="7"/>
      <c r="W169" s="7"/>
      <c r="X169" s="13"/>
    </row>
    <row r="170" spans="4:24" s="1" customFormat="1" x14ac:dyDescent="0.2">
      <c r="D170" s="7"/>
      <c r="E170" s="6"/>
      <c r="H170" s="11"/>
      <c r="I170" s="8"/>
      <c r="S170" s="7"/>
      <c r="T170" s="7"/>
      <c r="U170" s="7"/>
      <c r="V170" s="7"/>
      <c r="W170" s="7"/>
      <c r="X170" s="13"/>
    </row>
    <row r="171" spans="4:24" s="1" customFormat="1" x14ac:dyDescent="0.2">
      <c r="D171" s="7"/>
      <c r="E171" s="6"/>
      <c r="H171" s="11"/>
      <c r="I171" s="8"/>
      <c r="S171" s="7"/>
      <c r="T171" s="7"/>
      <c r="U171" s="7"/>
      <c r="V171" s="7"/>
      <c r="W171" s="7"/>
      <c r="X171" s="13"/>
    </row>
    <row r="172" spans="4:24" s="1" customFormat="1" x14ac:dyDescent="0.2">
      <c r="D172" s="7"/>
      <c r="E172" s="6"/>
      <c r="H172" s="11"/>
      <c r="I172" s="8"/>
      <c r="S172" s="7"/>
      <c r="T172" s="7"/>
      <c r="U172" s="7"/>
      <c r="V172" s="7"/>
      <c r="W172" s="7"/>
      <c r="X172" s="13"/>
    </row>
    <row r="173" spans="4:24" s="1" customFormat="1" x14ac:dyDescent="0.2">
      <c r="D173" s="7"/>
      <c r="E173" s="6"/>
      <c r="H173" s="11"/>
      <c r="I173" s="8"/>
      <c r="S173" s="7"/>
      <c r="T173" s="7"/>
      <c r="U173" s="7"/>
      <c r="V173" s="7"/>
      <c r="W173" s="7"/>
      <c r="X173" s="13"/>
    </row>
    <row r="174" spans="4:24" s="1" customFormat="1" x14ac:dyDescent="0.2">
      <c r="D174" s="7"/>
      <c r="E174" s="6"/>
      <c r="H174" s="11"/>
      <c r="I174" s="8"/>
      <c r="S174" s="7"/>
      <c r="T174" s="7"/>
      <c r="U174" s="7"/>
      <c r="V174" s="7"/>
      <c r="W174" s="7"/>
      <c r="X174" s="13"/>
    </row>
    <row r="175" spans="4:24" s="1" customFormat="1" x14ac:dyDescent="0.2">
      <c r="D175" s="7"/>
      <c r="E175" s="6"/>
      <c r="H175" s="11"/>
      <c r="I175" s="8"/>
      <c r="S175" s="7"/>
      <c r="T175" s="7"/>
      <c r="U175" s="7"/>
      <c r="V175" s="7"/>
      <c r="W175" s="7"/>
      <c r="X175" s="13"/>
    </row>
    <row r="176" spans="4:24" s="1" customFormat="1" x14ac:dyDescent="0.2">
      <c r="D176" s="7"/>
      <c r="E176" s="6"/>
      <c r="H176" s="11"/>
      <c r="I176" s="8"/>
      <c r="S176" s="7"/>
      <c r="T176" s="7"/>
      <c r="U176" s="7"/>
      <c r="V176" s="7"/>
      <c r="W176" s="7"/>
      <c r="X176" s="13"/>
    </row>
    <row r="177" spans="4:24" s="1" customFormat="1" x14ac:dyDescent="0.2">
      <c r="D177" s="7"/>
      <c r="E177" s="6"/>
      <c r="H177" s="11"/>
      <c r="I177" s="8"/>
      <c r="S177" s="7"/>
      <c r="T177" s="7"/>
      <c r="U177" s="7"/>
      <c r="V177" s="7"/>
      <c r="W177" s="7"/>
      <c r="X177" s="13"/>
    </row>
    <row r="178" spans="4:24" s="1" customFormat="1" x14ac:dyDescent="0.2">
      <c r="D178" s="7"/>
      <c r="E178" s="6"/>
      <c r="H178" s="11"/>
      <c r="I178" s="8"/>
      <c r="S178" s="7"/>
      <c r="T178" s="7"/>
      <c r="U178" s="7"/>
      <c r="V178" s="7"/>
      <c r="W178" s="7"/>
      <c r="X178" s="13"/>
    </row>
    <row r="179" spans="4:24" s="1" customFormat="1" x14ac:dyDescent="0.2">
      <c r="D179" s="7"/>
      <c r="E179" s="6"/>
      <c r="H179" s="11"/>
      <c r="I179" s="8"/>
      <c r="S179" s="7"/>
      <c r="T179" s="7"/>
      <c r="U179" s="7"/>
      <c r="V179" s="7"/>
      <c r="W179" s="7"/>
      <c r="X179" s="13"/>
    </row>
    <row r="180" spans="4:24" s="1" customFormat="1" x14ac:dyDescent="0.2">
      <c r="D180" s="7"/>
      <c r="E180" s="6"/>
      <c r="H180" s="11"/>
      <c r="I180" s="8"/>
      <c r="S180" s="7"/>
      <c r="T180" s="7"/>
      <c r="U180" s="7"/>
      <c r="V180" s="7"/>
      <c r="W180" s="7"/>
      <c r="X180" s="13"/>
    </row>
    <row r="181" spans="4:24" s="1" customFormat="1" x14ac:dyDescent="0.2">
      <c r="D181" s="7"/>
      <c r="E181" s="6"/>
      <c r="H181" s="11"/>
      <c r="I181" s="8"/>
      <c r="S181" s="7"/>
      <c r="T181" s="7"/>
      <c r="U181" s="7"/>
      <c r="V181" s="7"/>
      <c r="W181" s="7"/>
      <c r="X181" s="13"/>
    </row>
    <row r="182" spans="4:24" s="1" customFormat="1" x14ac:dyDescent="0.2">
      <c r="D182" s="7"/>
      <c r="E182" s="6"/>
      <c r="H182" s="11"/>
      <c r="I182" s="8"/>
      <c r="S182" s="7"/>
      <c r="T182" s="7"/>
      <c r="U182" s="7"/>
      <c r="V182" s="7"/>
      <c r="W182" s="7"/>
      <c r="X182" s="13"/>
    </row>
    <row r="183" spans="4:24" s="1" customFormat="1" x14ac:dyDescent="0.2">
      <c r="D183" s="7"/>
      <c r="E183" s="6"/>
      <c r="H183" s="11"/>
      <c r="I183" s="8"/>
      <c r="S183" s="7"/>
      <c r="T183" s="7"/>
      <c r="U183" s="7"/>
      <c r="V183" s="7"/>
      <c r="W183" s="7"/>
      <c r="X183" s="13"/>
    </row>
    <row r="184" spans="4:24" s="1" customFormat="1" x14ac:dyDescent="0.2">
      <c r="D184" s="7"/>
      <c r="E184" s="6"/>
      <c r="H184" s="11"/>
      <c r="I184" s="8"/>
      <c r="S184" s="7"/>
      <c r="T184" s="7"/>
      <c r="U184" s="7"/>
      <c r="V184" s="7"/>
      <c r="W184" s="7"/>
      <c r="X184" s="13"/>
    </row>
    <row r="185" spans="4:24" s="1" customFormat="1" x14ac:dyDescent="0.2">
      <c r="D185" s="7"/>
      <c r="E185" s="6"/>
      <c r="H185" s="11"/>
      <c r="I185" s="8"/>
      <c r="S185" s="7"/>
      <c r="T185" s="7"/>
      <c r="U185" s="7"/>
      <c r="V185" s="7"/>
      <c r="W185" s="7"/>
      <c r="X185" s="13"/>
    </row>
    <row r="186" spans="4:24" s="1" customFormat="1" x14ac:dyDescent="0.2">
      <c r="D186" s="7"/>
      <c r="E186" s="6"/>
      <c r="H186" s="11"/>
      <c r="I186" s="8"/>
      <c r="S186" s="7"/>
      <c r="T186" s="7"/>
      <c r="U186" s="7"/>
      <c r="V186" s="7"/>
      <c r="W186" s="7"/>
      <c r="X186" s="13"/>
    </row>
    <row r="187" spans="4:24" s="1" customFormat="1" x14ac:dyDescent="0.2">
      <c r="D187" s="7"/>
      <c r="E187" s="6"/>
      <c r="H187" s="11"/>
      <c r="I187" s="8"/>
      <c r="S187" s="7"/>
      <c r="T187" s="7"/>
      <c r="U187" s="7"/>
      <c r="V187" s="7"/>
      <c r="W187" s="7"/>
      <c r="X187" s="13"/>
    </row>
    <row r="188" spans="4:24" s="1" customFormat="1" x14ac:dyDescent="0.2">
      <c r="D188" s="7"/>
      <c r="E188" s="6"/>
      <c r="H188" s="11"/>
      <c r="I188" s="8"/>
      <c r="S188" s="7"/>
      <c r="T188" s="7"/>
      <c r="U188" s="7"/>
      <c r="V188" s="7"/>
      <c r="W188" s="7"/>
      <c r="X188" s="13"/>
    </row>
    <row r="189" spans="4:24" s="1" customFormat="1" x14ac:dyDescent="0.2">
      <c r="D189" s="7"/>
      <c r="E189" s="6"/>
      <c r="H189" s="11"/>
      <c r="I189" s="8"/>
      <c r="S189" s="7"/>
      <c r="T189" s="7"/>
      <c r="U189" s="7"/>
      <c r="V189" s="7"/>
      <c r="W189" s="7"/>
      <c r="X189" s="13"/>
    </row>
    <row r="190" spans="4:24" s="1" customFormat="1" x14ac:dyDescent="0.2">
      <c r="D190" s="7"/>
      <c r="E190" s="6"/>
      <c r="H190" s="11"/>
      <c r="I190" s="8"/>
      <c r="S190" s="7"/>
      <c r="T190" s="7"/>
      <c r="U190" s="7"/>
      <c r="V190" s="7"/>
      <c r="W190" s="7"/>
      <c r="X190" s="13"/>
    </row>
    <row r="191" spans="4:24" s="1" customFormat="1" x14ac:dyDescent="0.2">
      <c r="D191" s="7"/>
      <c r="E191" s="6"/>
      <c r="H191" s="11"/>
      <c r="I191" s="8"/>
      <c r="S191" s="7"/>
      <c r="T191" s="7"/>
      <c r="U191" s="7"/>
      <c r="V191" s="7"/>
      <c r="W191" s="7"/>
      <c r="X191" s="13"/>
    </row>
    <row r="192" spans="4:24" s="1" customFormat="1" x14ac:dyDescent="0.2">
      <c r="D192" s="7"/>
      <c r="E192" s="6"/>
      <c r="H192" s="11"/>
      <c r="I192" s="8"/>
      <c r="S192" s="7"/>
      <c r="T192" s="7"/>
      <c r="U192" s="7"/>
      <c r="V192" s="7"/>
      <c r="W192" s="7"/>
      <c r="X192" s="13"/>
    </row>
    <row r="193" spans="4:24" s="1" customFormat="1" x14ac:dyDescent="0.2">
      <c r="D193" s="7"/>
      <c r="E193" s="6"/>
      <c r="H193" s="11"/>
      <c r="I193" s="8"/>
      <c r="S193" s="7"/>
      <c r="T193" s="7"/>
      <c r="U193" s="7"/>
      <c r="V193" s="7"/>
      <c r="W193" s="7"/>
      <c r="X193" s="13"/>
    </row>
    <row r="194" spans="4:24" s="1" customFormat="1" x14ac:dyDescent="0.2">
      <c r="D194" s="7"/>
      <c r="E194" s="6"/>
      <c r="H194" s="11"/>
      <c r="I194" s="8"/>
      <c r="S194" s="7"/>
      <c r="T194" s="7"/>
      <c r="U194" s="7"/>
      <c r="V194" s="7"/>
      <c r="W194" s="7"/>
      <c r="X194" s="13"/>
    </row>
    <row r="195" spans="4:24" s="1" customFormat="1" x14ac:dyDescent="0.2">
      <c r="D195" s="7"/>
      <c r="E195" s="6"/>
      <c r="H195" s="11"/>
      <c r="I195" s="8"/>
      <c r="S195" s="7"/>
      <c r="T195" s="7"/>
      <c r="U195" s="7"/>
      <c r="V195" s="7"/>
      <c r="W195" s="7"/>
      <c r="X195" s="13"/>
    </row>
    <row r="196" spans="4:24" s="1" customFormat="1" x14ac:dyDescent="0.2">
      <c r="D196" s="7"/>
      <c r="E196" s="6"/>
      <c r="H196" s="11"/>
      <c r="I196" s="8"/>
      <c r="S196" s="7"/>
      <c r="T196" s="7"/>
      <c r="U196" s="7"/>
      <c r="V196" s="7"/>
      <c r="W196" s="7"/>
      <c r="X196" s="13"/>
    </row>
    <row r="197" spans="4:24" s="1" customFormat="1" x14ac:dyDescent="0.2">
      <c r="D197" s="7"/>
      <c r="E197" s="6"/>
      <c r="H197" s="11"/>
      <c r="I197" s="8"/>
      <c r="S197" s="7"/>
      <c r="T197" s="7"/>
      <c r="U197" s="7"/>
      <c r="V197" s="7"/>
      <c r="W197" s="7"/>
      <c r="X197" s="13"/>
    </row>
    <row r="198" spans="4:24" s="1" customFormat="1" x14ac:dyDescent="0.2">
      <c r="D198" s="7"/>
      <c r="E198" s="6"/>
      <c r="H198" s="11"/>
      <c r="I198" s="8"/>
      <c r="S198" s="7"/>
      <c r="T198" s="7"/>
      <c r="U198" s="7"/>
      <c r="V198" s="7"/>
      <c r="W198" s="7"/>
      <c r="X198" s="13"/>
    </row>
    <row r="199" spans="4:24" s="1" customFormat="1" x14ac:dyDescent="0.2">
      <c r="D199" s="7"/>
      <c r="E199" s="6"/>
      <c r="H199" s="11"/>
      <c r="I199" s="8"/>
      <c r="S199" s="7"/>
      <c r="T199" s="7"/>
      <c r="U199" s="7"/>
      <c r="V199" s="7"/>
      <c r="W199" s="7"/>
      <c r="X199" s="13"/>
    </row>
    <row r="200" spans="4:24" s="1" customFormat="1" x14ac:dyDescent="0.2">
      <c r="D200" s="7"/>
      <c r="E200" s="6"/>
      <c r="H200" s="11"/>
      <c r="I200" s="8"/>
      <c r="S200" s="7"/>
      <c r="T200" s="7"/>
      <c r="U200" s="7"/>
      <c r="V200" s="7"/>
      <c r="W200" s="7"/>
      <c r="X200" s="13"/>
    </row>
    <row r="201" spans="4:24" s="1" customFormat="1" x14ac:dyDescent="0.2">
      <c r="D201" s="7"/>
      <c r="E201" s="6"/>
      <c r="H201" s="11"/>
      <c r="I201" s="8"/>
      <c r="S201" s="7"/>
      <c r="T201" s="7"/>
      <c r="U201" s="7"/>
      <c r="V201" s="7"/>
      <c r="W201" s="7"/>
      <c r="X201" s="13"/>
    </row>
    <row r="202" spans="4:24" s="1" customFormat="1" x14ac:dyDescent="0.2">
      <c r="D202" s="7"/>
      <c r="E202" s="6"/>
      <c r="H202" s="11"/>
      <c r="I202" s="8"/>
      <c r="S202" s="7"/>
      <c r="T202" s="7"/>
      <c r="U202" s="7"/>
      <c r="V202" s="7"/>
      <c r="W202" s="7"/>
      <c r="X202" s="13"/>
    </row>
    <row r="203" spans="4:24" s="1" customFormat="1" x14ac:dyDescent="0.2">
      <c r="D203" s="7"/>
      <c r="E203" s="6"/>
      <c r="H203" s="11"/>
      <c r="I203" s="8"/>
      <c r="S203" s="7"/>
      <c r="T203" s="7"/>
      <c r="U203" s="7"/>
      <c r="V203" s="7"/>
      <c r="W203" s="7"/>
      <c r="X203" s="13"/>
    </row>
    <row r="204" spans="4:24" s="1" customFormat="1" x14ac:dyDescent="0.2">
      <c r="D204" s="7"/>
      <c r="E204" s="6"/>
      <c r="H204" s="11"/>
      <c r="I204" s="8"/>
      <c r="S204" s="7"/>
      <c r="T204" s="7"/>
      <c r="U204" s="7"/>
      <c r="V204" s="7"/>
      <c r="W204" s="7"/>
      <c r="X204" s="13"/>
    </row>
    <row r="205" spans="4:24" s="1" customFormat="1" x14ac:dyDescent="0.2">
      <c r="D205" s="7"/>
      <c r="E205" s="6"/>
      <c r="H205" s="11"/>
      <c r="I205" s="8"/>
      <c r="S205" s="7"/>
      <c r="T205" s="7"/>
      <c r="U205" s="7"/>
      <c r="V205" s="7"/>
      <c r="W205" s="7"/>
      <c r="X205" s="13"/>
    </row>
    <row r="206" spans="4:24" s="1" customFormat="1" x14ac:dyDescent="0.2">
      <c r="D206" s="7"/>
      <c r="E206" s="6"/>
      <c r="H206" s="11"/>
      <c r="I206" s="8"/>
      <c r="S206" s="7"/>
      <c r="T206" s="7"/>
      <c r="U206" s="7"/>
      <c r="V206" s="7"/>
      <c r="W206" s="7"/>
      <c r="X206" s="13"/>
    </row>
    <row r="207" spans="4:24" s="1" customFormat="1" x14ac:dyDescent="0.2">
      <c r="D207" s="7"/>
      <c r="E207" s="6"/>
      <c r="H207" s="11"/>
      <c r="I207" s="8"/>
      <c r="S207" s="7"/>
      <c r="T207" s="7"/>
      <c r="U207" s="7"/>
      <c r="V207" s="7"/>
      <c r="W207" s="7"/>
      <c r="X207" s="13"/>
    </row>
    <row r="208" spans="4:24" s="1" customFormat="1" x14ac:dyDescent="0.2">
      <c r="D208" s="7"/>
      <c r="E208" s="6"/>
      <c r="H208" s="11"/>
      <c r="I208" s="8"/>
      <c r="S208" s="7"/>
      <c r="T208" s="7"/>
      <c r="U208" s="7"/>
      <c r="V208" s="7"/>
      <c r="W208" s="7"/>
      <c r="X208" s="13"/>
    </row>
    <row r="209" spans="4:24" s="1" customFormat="1" x14ac:dyDescent="0.2">
      <c r="D209" s="7"/>
      <c r="E209" s="6"/>
      <c r="H209" s="11"/>
      <c r="I209" s="8"/>
      <c r="S209" s="7"/>
      <c r="T209" s="7"/>
      <c r="U209" s="7"/>
      <c r="V209" s="7"/>
      <c r="W209" s="7"/>
      <c r="X209" s="13"/>
    </row>
    <row r="210" spans="4:24" s="1" customFormat="1" x14ac:dyDescent="0.2">
      <c r="D210" s="7"/>
      <c r="E210" s="6"/>
      <c r="H210" s="11"/>
      <c r="I210" s="8"/>
      <c r="S210" s="7"/>
      <c r="T210" s="7"/>
      <c r="U210" s="7"/>
      <c r="V210" s="7"/>
      <c r="W210" s="7"/>
      <c r="X210" s="13"/>
    </row>
    <row r="211" spans="4:24" s="1" customFormat="1" x14ac:dyDescent="0.2">
      <c r="D211" s="7"/>
      <c r="E211" s="6"/>
      <c r="H211" s="11"/>
      <c r="I211" s="8"/>
      <c r="S211" s="7"/>
      <c r="T211" s="7"/>
      <c r="U211" s="7"/>
      <c r="V211" s="7"/>
      <c r="W211" s="7"/>
      <c r="X211" s="13"/>
    </row>
    <row r="212" spans="4:24" s="1" customFormat="1" x14ac:dyDescent="0.2">
      <c r="D212" s="7"/>
      <c r="E212" s="6"/>
      <c r="H212" s="11"/>
      <c r="I212" s="8"/>
      <c r="S212" s="7"/>
      <c r="T212" s="7"/>
      <c r="U212" s="7"/>
      <c r="V212" s="7"/>
      <c r="W212" s="7"/>
      <c r="X212" s="13"/>
    </row>
    <row r="213" spans="4:24" s="1" customFormat="1" x14ac:dyDescent="0.2">
      <c r="D213" s="7"/>
      <c r="E213" s="6"/>
      <c r="H213" s="11"/>
      <c r="I213" s="8"/>
      <c r="S213" s="7"/>
      <c r="T213" s="7"/>
      <c r="U213" s="7"/>
      <c r="V213" s="7"/>
      <c r="W213" s="7"/>
      <c r="X213" s="13"/>
    </row>
    <row r="214" spans="4:24" s="1" customFormat="1" x14ac:dyDescent="0.2">
      <c r="D214" s="7"/>
      <c r="E214" s="6"/>
      <c r="H214" s="11"/>
      <c r="I214" s="8"/>
      <c r="S214" s="7"/>
      <c r="T214" s="7"/>
      <c r="U214" s="7"/>
      <c r="V214" s="7"/>
      <c r="W214" s="7"/>
      <c r="X214" s="13"/>
    </row>
    <row r="215" spans="4:24" s="1" customFormat="1" x14ac:dyDescent="0.2">
      <c r="D215" s="7"/>
      <c r="E215" s="6"/>
      <c r="H215" s="11"/>
      <c r="I215" s="8"/>
      <c r="S215" s="7"/>
      <c r="T215" s="7"/>
      <c r="U215" s="7"/>
      <c r="V215" s="7"/>
      <c r="W215" s="7"/>
      <c r="X215" s="13"/>
    </row>
    <row r="216" spans="4:24" s="1" customFormat="1" x14ac:dyDescent="0.2">
      <c r="D216" s="7"/>
      <c r="E216" s="6"/>
      <c r="H216" s="11"/>
      <c r="I216" s="8"/>
      <c r="S216" s="7"/>
      <c r="T216" s="7"/>
      <c r="U216" s="7"/>
      <c r="V216" s="7"/>
      <c r="W216" s="7"/>
      <c r="X216" s="13"/>
    </row>
    <row r="217" spans="4:24" s="1" customFormat="1" x14ac:dyDescent="0.2">
      <c r="D217" s="7"/>
      <c r="E217" s="6"/>
      <c r="H217" s="11"/>
      <c r="I217" s="8"/>
      <c r="S217" s="7"/>
      <c r="T217" s="7"/>
      <c r="U217" s="7"/>
      <c r="V217" s="7"/>
      <c r="W217" s="7"/>
      <c r="X217" s="13"/>
    </row>
    <row r="218" spans="4:24" s="1" customFormat="1" x14ac:dyDescent="0.2">
      <c r="D218" s="7"/>
      <c r="E218" s="6"/>
      <c r="H218" s="11"/>
      <c r="I218" s="8"/>
      <c r="S218" s="7"/>
      <c r="T218" s="7"/>
      <c r="U218" s="7"/>
      <c r="V218" s="7"/>
      <c r="W218" s="7"/>
      <c r="X218" s="13"/>
    </row>
    <row r="219" spans="4:24" s="1" customFormat="1" x14ac:dyDescent="0.2">
      <c r="D219" s="7"/>
      <c r="E219" s="6"/>
      <c r="H219" s="11"/>
      <c r="I219" s="8"/>
      <c r="S219" s="7"/>
      <c r="T219" s="7"/>
      <c r="U219" s="7"/>
      <c r="V219" s="7"/>
      <c r="W219" s="7"/>
      <c r="X219" s="13"/>
    </row>
    <row r="220" spans="4:24" s="1" customFormat="1" x14ac:dyDescent="0.2">
      <c r="D220" s="7"/>
      <c r="E220" s="6"/>
      <c r="H220" s="11"/>
      <c r="I220" s="8"/>
      <c r="S220" s="7"/>
      <c r="T220" s="7"/>
      <c r="U220" s="7"/>
      <c r="V220" s="7"/>
      <c r="W220" s="7"/>
      <c r="X220" s="13"/>
    </row>
    <row r="221" spans="4:24" s="1" customFormat="1" x14ac:dyDescent="0.2">
      <c r="D221" s="7"/>
      <c r="E221" s="6"/>
      <c r="H221" s="11"/>
      <c r="I221" s="8"/>
      <c r="S221" s="7"/>
      <c r="T221" s="7"/>
      <c r="U221" s="7"/>
      <c r="V221" s="7"/>
      <c r="W221" s="7"/>
      <c r="X221" s="13"/>
    </row>
    <row r="222" spans="4:24" s="1" customFormat="1" x14ac:dyDescent="0.2">
      <c r="D222" s="7"/>
      <c r="E222" s="6"/>
      <c r="H222" s="11"/>
      <c r="I222" s="8"/>
      <c r="S222" s="7"/>
      <c r="T222" s="7"/>
      <c r="U222" s="7"/>
      <c r="V222" s="7"/>
      <c r="W222" s="7"/>
      <c r="X222" s="13"/>
    </row>
    <row r="223" spans="4:24" s="1" customFormat="1" x14ac:dyDescent="0.2">
      <c r="D223" s="7"/>
      <c r="E223" s="6"/>
      <c r="H223" s="11"/>
      <c r="I223" s="8"/>
      <c r="S223" s="7"/>
      <c r="T223" s="7"/>
      <c r="U223" s="7"/>
      <c r="V223" s="7"/>
      <c r="W223" s="7"/>
      <c r="X223" s="13"/>
    </row>
    <row r="224" spans="4:24" s="1" customFormat="1" x14ac:dyDescent="0.2">
      <c r="D224" s="7"/>
      <c r="E224" s="6"/>
      <c r="H224" s="11"/>
      <c r="I224" s="8"/>
      <c r="S224" s="7"/>
      <c r="T224" s="7"/>
      <c r="U224" s="7"/>
      <c r="V224" s="7"/>
      <c r="W224" s="7"/>
      <c r="X224" s="13"/>
    </row>
    <row r="225" spans="4:24" s="1" customFormat="1" x14ac:dyDescent="0.2">
      <c r="D225" s="7"/>
      <c r="E225" s="6"/>
      <c r="H225" s="11"/>
      <c r="I225" s="8"/>
      <c r="S225" s="7"/>
      <c r="T225" s="7"/>
      <c r="U225" s="7"/>
      <c r="V225" s="7"/>
      <c r="W225" s="7"/>
      <c r="X225" s="13"/>
    </row>
    <row r="226" spans="4:24" s="1" customFormat="1" x14ac:dyDescent="0.2">
      <c r="D226" s="7"/>
      <c r="E226" s="6"/>
      <c r="H226" s="11"/>
      <c r="I226" s="8"/>
      <c r="S226" s="7"/>
      <c r="T226" s="7"/>
      <c r="U226" s="7"/>
      <c r="V226" s="7"/>
      <c r="W226" s="7"/>
      <c r="X226" s="13"/>
    </row>
    <row r="227" spans="4:24" s="1" customFormat="1" x14ac:dyDescent="0.2">
      <c r="D227" s="7"/>
      <c r="E227" s="6"/>
      <c r="H227" s="11"/>
      <c r="I227" s="8"/>
      <c r="S227" s="7"/>
      <c r="T227" s="7"/>
      <c r="U227" s="7"/>
      <c r="V227" s="7"/>
      <c r="W227" s="7"/>
      <c r="X227" s="13"/>
    </row>
    <row r="228" spans="4:24" s="1" customFormat="1" x14ac:dyDescent="0.2">
      <c r="D228" s="7"/>
      <c r="E228" s="6"/>
      <c r="H228" s="11"/>
      <c r="I228" s="8"/>
      <c r="S228" s="7"/>
      <c r="T228" s="7"/>
      <c r="U228" s="7"/>
      <c r="V228" s="7"/>
      <c r="W228" s="7"/>
      <c r="X228" s="13"/>
    </row>
    <row r="229" spans="4:24" s="1" customFormat="1" x14ac:dyDescent="0.2">
      <c r="D229" s="7"/>
      <c r="E229" s="6"/>
      <c r="H229" s="11"/>
      <c r="I229" s="8"/>
      <c r="S229" s="7"/>
      <c r="T229" s="7"/>
      <c r="U229" s="7"/>
      <c r="V229" s="7"/>
      <c r="W229" s="7"/>
      <c r="X229" s="13"/>
    </row>
    <row r="230" spans="4:24" s="1" customFormat="1" x14ac:dyDescent="0.2">
      <c r="D230" s="7"/>
      <c r="E230" s="6"/>
      <c r="H230" s="11"/>
      <c r="I230" s="8"/>
      <c r="S230" s="7"/>
      <c r="T230" s="7"/>
      <c r="U230" s="7"/>
      <c r="V230" s="7"/>
      <c r="W230" s="7"/>
      <c r="X230" s="13"/>
    </row>
    <row r="231" spans="4:24" s="1" customFormat="1" x14ac:dyDescent="0.2">
      <c r="D231" s="7"/>
      <c r="E231" s="6"/>
      <c r="H231" s="11"/>
      <c r="I231" s="8"/>
      <c r="S231" s="7"/>
      <c r="T231" s="7"/>
      <c r="U231" s="7"/>
      <c r="V231" s="7"/>
      <c r="W231" s="7"/>
      <c r="X231" s="13"/>
    </row>
    <row r="232" spans="4:24" s="1" customFormat="1" x14ac:dyDescent="0.2">
      <c r="D232" s="7"/>
      <c r="E232" s="6"/>
      <c r="H232" s="11"/>
      <c r="I232" s="8"/>
      <c r="S232" s="7"/>
      <c r="T232" s="7"/>
      <c r="U232" s="7"/>
      <c r="V232" s="7"/>
      <c r="W232" s="7"/>
      <c r="X232" s="13"/>
    </row>
    <row r="233" spans="4:24" s="1" customFormat="1" x14ac:dyDescent="0.2">
      <c r="D233" s="7"/>
      <c r="E233" s="6"/>
      <c r="H233" s="11"/>
      <c r="I233" s="8"/>
      <c r="S233" s="7"/>
      <c r="T233" s="7"/>
      <c r="U233" s="7"/>
      <c r="V233" s="7"/>
      <c r="W233" s="7"/>
      <c r="X233" s="13"/>
    </row>
    <row r="234" spans="4:24" s="1" customFormat="1" x14ac:dyDescent="0.2">
      <c r="D234" s="7"/>
      <c r="E234" s="6"/>
      <c r="H234" s="11"/>
      <c r="I234" s="8"/>
      <c r="S234" s="7"/>
      <c r="T234" s="7"/>
      <c r="U234" s="7"/>
      <c r="V234" s="7"/>
      <c r="W234" s="7"/>
      <c r="X234" s="13"/>
    </row>
    <row r="235" spans="4:24" s="1" customFormat="1" x14ac:dyDescent="0.2">
      <c r="D235" s="7"/>
      <c r="E235" s="6"/>
      <c r="H235" s="11"/>
      <c r="I235" s="8"/>
      <c r="S235" s="7"/>
      <c r="T235" s="7"/>
      <c r="U235" s="7"/>
      <c r="V235" s="7"/>
      <c r="W235" s="7"/>
      <c r="X235" s="13"/>
    </row>
    <row r="236" spans="4:24" s="1" customFormat="1" x14ac:dyDescent="0.2">
      <c r="D236" s="7"/>
      <c r="E236" s="6"/>
      <c r="H236" s="11"/>
      <c r="I236" s="8"/>
      <c r="S236" s="7"/>
      <c r="T236" s="7"/>
      <c r="U236" s="7"/>
      <c r="V236" s="7"/>
      <c r="W236" s="7"/>
      <c r="X236" s="13"/>
    </row>
    <row r="237" spans="4:24" s="1" customFormat="1" x14ac:dyDescent="0.2">
      <c r="D237" s="7"/>
      <c r="E237" s="6"/>
      <c r="H237" s="11"/>
      <c r="I237" s="8"/>
      <c r="S237" s="7"/>
      <c r="T237" s="7"/>
      <c r="U237" s="7"/>
      <c r="V237" s="7"/>
      <c r="W237" s="7"/>
      <c r="X237" s="13"/>
    </row>
    <row r="238" spans="4:24" s="1" customFormat="1" x14ac:dyDescent="0.2">
      <c r="D238" s="7"/>
      <c r="E238" s="6"/>
      <c r="H238" s="11"/>
      <c r="I238" s="8"/>
      <c r="S238" s="7"/>
      <c r="T238" s="7"/>
      <c r="U238" s="7"/>
      <c r="V238" s="7"/>
      <c r="W238" s="7"/>
      <c r="X238" s="13"/>
    </row>
    <row r="239" spans="4:24" s="1" customFormat="1" x14ac:dyDescent="0.2">
      <c r="D239" s="7"/>
      <c r="E239" s="6"/>
      <c r="H239" s="11"/>
      <c r="I239" s="8"/>
      <c r="S239" s="7"/>
      <c r="T239" s="7"/>
      <c r="U239" s="7"/>
      <c r="V239" s="7"/>
      <c r="W239" s="7"/>
      <c r="X239" s="13"/>
    </row>
    <row r="240" spans="4:24" s="1" customFormat="1" x14ac:dyDescent="0.2">
      <c r="D240" s="7"/>
      <c r="E240" s="6"/>
      <c r="H240" s="11"/>
      <c r="I240" s="8"/>
      <c r="S240" s="7"/>
      <c r="T240" s="7"/>
      <c r="U240" s="7"/>
      <c r="V240" s="7"/>
      <c r="W240" s="7"/>
      <c r="X240" s="13"/>
    </row>
    <row r="241" spans="4:24" s="1" customFormat="1" x14ac:dyDescent="0.2">
      <c r="D241" s="7"/>
      <c r="E241" s="6"/>
      <c r="H241" s="11"/>
      <c r="I241" s="8"/>
      <c r="S241" s="7"/>
      <c r="T241" s="7"/>
      <c r="U241" s="7"/>
      <c r="V241" s="7"/>
      <c r="W241" s="7"/>
      <c r="X241" s="13"/>
    </row>
    <row r="242" spans="4:24" s="1" customFormat="1" x14ac:dyDescent="0.2">
      <c r="D242" s="7"/>
      <c r="E242" s="6"/>
      <c r="H242" s="11"/>
      <c r="I242" s="8"/>
      <c r="S242" s="7"/>
      <c r="T242" s="7"/>
      <c r="U242" s="7"/>
      <c r="V242" s="7"/>
      <c r="W242" s="7"/>
      <c r="X242" s="13"/>
    </row>
    <row r="243" spans="4:24" s="1" customFormat="1" x14ac:dyDescent="0.2">
      <c r="D243" s="7"/>
      <c r="E243" s="6"/>
      <c r="H243" s="11"/>
      <c r="I243" s="8"/>
      <c r="S243" s="7"/>
      <c r="T243" s="7"/>
      <c r="U243" s="7"/>
      <c r="V243" s="7"/>
      <c r="W243" s="7"/>
      <c r="X243" s="13"/>
    </row>
    <row r="244" spans="4:24" s="1" customFormat="1" x14ac:dyDescent="0.2">
      <c r="D244" s="7"/>
      <c r="E244" s="6"/>
      <c r="H244" s="11"/>
      <c r="I244" s="8"/>
      <c r="S244" s="7"/>
      <c r="T244" s="7"/>
      <c r="U244" s="7"/>
      <c r="V244" s="7"/>
      <c r="W244" s="7"/>
      <c r="X244" s="13"/>
    </row>
    <row r="245" spans="4:24" s="1" customFormat="1" x14ac:dyDescent="0.2">
      <c r="D245" s="7"/>
      <c r="E245" s="6"/>
      <c r="H245" s="11"/>
      <c r="I245" s="8"/>
      <c r="S245" s="7"/>
      <c r="T245" s="7"/>
      <c r="U245" s="7"/>
      <c r="V245" s="7"/>
      <c r="W245" s="7"/>
      <c r="X245" s="13"/>
    </row>
    <row r="246" spans="4:24" s="1" customFormat="1" x14ac:dyDescent="0.2">
      <c r="D246" s="7"/>
      <c r="E246" s="6"/>
      <c r="H246" s="11"/>
      <c r="I246" s="8"/>
      <c r="S246" s="7"/>
      <c r="T246" s="7"/>
      <c r="U246" s="7"/>
      <c r="V246" s="7"/>
      <c r="W246" s="7"/>
      <c r="X246" s="13"/>
    </row>
    <row r="247" spans="4:24" s="1" customFormat="1" x14ac:dyDescent="0.2">
      <c r="D247" s="7"/>
      <c r="E247" s="6"/>
      <c r="H247" s="11"/>
      <c r="I247" s="8"/>
      <c r="S247" s="7"/>
      <c r="T247" s="7"/>
      <c r="U247" s="7"/>
      <c r="V247" s="7"/>
      <c r="W247" s="7"/>
      <c r="X247" s="13"/>
    </row>
    <row r="248" spans="4:24" s="1" customFormat="1" x14ac:dyDescent="0.2">
      <c r="D248" s="7"/>
      <c r="E248" s="6"/>
      <c r="H248" s="11"/>
      <c r="I248" s="8"/>
      <c r="S248" s="7"/>
      <c r="T248" s="7"/>
      <c r="U248" s="7"/>
      <c r="V248" s="7"/>
      <c r="W248" s="7"/>
      <c r="X248" s="13"/>
    </row>
    <row r="249" spans="4:24" s="1" customFormat="1" x14ac:dyDescent="0.2">
      <c r="D249" s="7"/>
      <c r="E249" s="6"/>
      <c r="H249" s="11"/>
      <c r="I249" s="8"/>
      <c r="S249" s="7"/>
      <c r="T249" s="7"/>
      <c r="U249" s="7"/>
      <c r="V249" s="7"/>
      <c r="W249" s="7"/>
      <c r="X249" s="13"/>
    </row>
    <row r="250" spans="4:24" s="1" customFormat="1" x14ac:dyDescent="0.2">
      <c r="D250" s="7"/>
      <c r="E250" s="6"/>
      <c r="H250" s="11"/>
      <c r="I250" s="8"/>
      <c r="S250" s="7"/>
      <c r="T250" s="7"/>
      <c r="U250" s="7"/>
      <c r="V250" s="7"/>
      <c r="W250" s="7"/>
      <c r="X250" s="13"/>
    </row>
    <row r="251" spans="4:24" s="1" customFormat="1" x14ac:dyDescent="0.2">
      <c r="D251" s="7"/>
      <c r="E251" s="6"/>
      <c r="H251" s="11"/>
      <c r="I251" s="8"/>
      <c r="S251" s="7"/>
      <c r="T251" s="7"/>
      <c r="U251" s="7"/>
      <c r="V251" s="7"/>
      <c r="W251" s="7"/>
      <c r="X251" s="13"/>
    </row>
    <row r="252" spans="4:24" s="1" customFormat="1" x14ac:dyDescent="0.2">
      <c r="D252" s="7"/>
      <c r="E252" s="6"/>
      <c r="H252" s="11"/>
      <c r="I252" s="8"/>
      <c r="S252" s="7"/>
      <c r="T252" s="7"/>
      <c r="U252" s="7"/>
      <c r="V252" s="7"/>
      <c r="W252" s="7"/>
      <c r="X252" s="13"/>
    </row>
    <row r="253" spans="4:24" s="1" customFormat="1" x14ac:dyDescent="0.2">
      <c r="D253" s="7"/>
      <c r="E253" s="6"/>
      <c r="H253" s="11"/>
      <c r="I253" s="8"/>
      <c r="S253" s="7"/>
      <c r="T253" s="7"/>
      <c r="U253" s="7"/>
      <c r="V253" s="7"/>
      <c r="W253" s="7"/>
      <c r="X253" s="13"/>
    </row>
    <row r="254" spans="4:24" s="1" customFormat="1" x14ac:dyDescent="0.2">
      <c r="D254" s="7"/>
      <c r="E254" s="6"/>
      <c r="H254" s="11"/>
      <c r="I254" s="8"/>
      <c r="S254" s="7"/>
      <c r="T254" s="7"/>
      <c r="U254" s="7"/>
      <c r="V254" s="7"/>
      <c r="W254" s="7"/>
      <c r="X254" s="13"/>
    </row>
    <row r="255" spans="4:24" s="1" customFormat="1" x14ac:dyDescent="0.2">
      <c r="D255" s="7"/>
      <c r="E255" s="6"/>
      <c r="H255" s="11"/>
      <c r="I255" s="8"/>
      <c r="S255" s="7"/>
      <c r="T255" s="7"/>
      <c r="U255" s="7"/>
      <c r="V255" s="7"/>
      <c r="W255" s="7"/>
      <c r="X255" s="13"/>
    </row>
    <row r="256" spans="4:24" s="1" customFormat="1" x14ac:dyDescent="0.2">
      <c r="D256" s="7"/>
      <c r="E256" s="6"/>
      <c r="H256" s="11"/>
      <c r="I256" s="8"/>
      <c r="S256" s="7"/>
      <c r="T256" s="7"/>
      <c r="U256" s="7"/>
      <c r="V256" s="7"/>
      <c r="W256" s="7"/>
      <c r="X256" s="13"/>
    </row>
    <row r="257" spans="4:24" s="1" customFormat="1" x14ac:dyDescent="0.2">
      <c r="D257" s="7"/>
      <c r="E257" s="6"/>
      <c r="H257" s="11"/>
      <c r="I257" s="8"/>
      <c r="S257" s="7"/>
      <c r="T257" s="7"/>
      <c r="U257" s="7"/>
      <c r="V257" s="7"/>
      <c r="W257" s="7"/>
      <c r="X257" s="13"/>
    </row>
    <row r="258" spans="4:24" s="1" customFormat="1" x14ac:dyDescent="0.2">
      <c r="D258" s="7"/>
      <c r="E258" s="6"/>
      <c r="H258" s="11"/>
      <c r="I258" s="8"/>
      <c r="S258" s="7"/>
      <c r="T258" s="7"/>
      <c r="U258" s="7"/>
      <c r="V258" s="7"/>
      <c r="W258" s="7"/>
      <c r="X258" s="13"/>
    </row>
    <row r="259" spans="4:24" s="1" customFormat="1" x14ac:dyDescent="0.2">
      <c r="D259" s="7"/>
      <c r="E259" s="6"/>
      <c r="H259" s="11"/>
      <c r="I259" s="8"/>
      <c r="S259" s="7"/>
      <c r="T259" s="7"/>
      <c r="U259" s="7"/>
      <c r="V259" s="7"/>
      <c r="W259" s="7"/>
      <c r="X259" s="13"/>
    </row>
    <row r="260" spans="4:24" s="1" customFormat="1" x14ac:dyDescent="0.2">
      <c r="D260" s="7"/>
      <c r="E260" s="6"/>
      <c r="H260" s="11"/>
      <c r="I260" s="8"/>
      <c r="S260" s="7"/>
      <c r="T260" s="7"/>
      <c r="U260" s="7"/>
      <c r="V260" s="7"/>
      <c r="W260" s="7"/>
      <c r="X260" s="13"/>
    </row>
    <row r="261" spans="4:24" s="1" customFormat="1" x14ac:dyDescent="0.2">
      <c r="D261" s="7"/>
      <c r="E261" s="6"/>
      <c r="H261" s="11"/>
      <c r="I261" s="8"/>
      <c r="S261" s="7"/>
      <c r="T261" s="7"/>
      <c r="U261" s="7"/>
      <c r="V261" s="7"/>
      <c r="W261" s="7"/>
      <c r="X261" s="13"/>
    </row>
    <row r="262" spans="4:24" s="1" customFormat="1" x14ac:dyDescent="0.2">
      <c r="D262" s="7"/>
      <c r="E262" s="6"/>
      <c r="H262" s="11"/>
      <c r="I262" s="8"/>
      <c r="S262" s="7"/>
      <c r="T262" s="7"/>
      <c r="U262" s="7"/>
      <c r="V262" s="7"/>
      <c r="W262" s="7"/>
      <c r="X262" s="13"/>
    </row>
    <row r="263" spans="4:24" s="1" customFormat="1" x14ac:dyDescent="0.2">
      <c r="D263" s="7"/>
      <c r="E263" s="6"/>
      <c r="H263" s="11"/>
      <c r="I263" s="8"/>
      <c r="S263" s="7"/>
      <c r="T263" s="7"/>
      <c r="U263" s="7"/>
      <c r="V263" s="7"/>
      <c r="W263" s="7"/>
      <c r="X263" s="13"/>
    </row>
    <row r="264" spans="4:24" s="1" customFormat="1" x14ac:dyDescent="0.2">
      <c r="D264" s="7"/>
      <c r="E264" s="6"/>
      <c r="H264" s="11"/>
      <c r="I264" s="8"/>
      <c r="S264" s="7"/>
      <c r="T264" s="7"/>
      <c r="U264" s="7"/>
      <c r="V264" s="7"/>
      <c r="W264" s="7"/>
      <c r="X264" s="13"/>
    </row>
    <row r="265" spans="4:24" s="1" customFormat="1" x14ac:dyDescent="0.2">
      <c r="D265" s="7"/>
      <c r="E265" s="6"/>
      <c r="H265" s="11"/>
      <c r="I265" s="8"/>
      <c r="S265" s="7"/>
      <c r="T265" s="7"/>
      <c r="U265" s="7"/>
      <c r="V265" s="7"/>
      <c r="W265" s="7"/>
      <c r="X265" s="13"/>
    </row>
    <row r="266" spans="4:24" s="1" customFormat="1" x14ac:dyDescent="0.2">
      <c r="D266" s="7"/>
      <c r="E266" s="6"/>
      <c r="H266" s="11"/>
      <c r="I266" s="8"/>
      <c r="S266" s="7"/>
      <c r="T266" s="7"/>
      <c r="U266" s="7"/>
      <c r="V266" s="7"/>
      <c r="W266" s="7"/>
      <c r="X266" s="13"/>
    </row>
    <row r="267" spans="4:24" s="1" customFormat="1" x14ac:dyDescent="0.2">
      <c r="D267" s="7"/>
      <c r="E267" s="6"/>
      <c r="H267" s="11"/>
      <c r="I267" s="8"/>
      <c r="S267" s="7"/>
      <c r="T267" s="7"/>
      <c r="U267" s="7"/>
      <c r="V267" s="7"/>
      <c r="W267" s="7"/>
      <c r="X267" s="13"/>
    </row>
    <row r="268" spans="4:24" s="1" customFormat="1" x14ac:dyDescent="0.2">
      <c r="D268" s="7"/>
      <c r="E268" s="6"/>
      <c r="H268" s="11"/>
      <c r="I268" s="8"/>
      <c r="S268" s="7"/>
      <c r="T268" s="7"/>
      <c r="U268" s="7"/>
      <c r="V268" s="7"/>
      <c r="W268" s="7"/>
      <c r="X268" s="13"/>
    </row>
    <row r="269" spans="4:24" s="1" customFormat="1" x14ac:dyDescent="0.2">
      <c r="D269" s="7"/>
      <c r="E269" s="6"/>
      <c r="H269" s="11"/>
      <c r="I269" s="8"/>
      <c r="S269" s="7"/>
      <c r="T269" s="7"/>
      <c r="U269" s="7"/>
      <c r="V269" s="7"/>
      <c r="W269" s="7"/>
      <c r="X269" s="13"/>
    </row>
    <row r="270" spans="4:24" s="1" customFormat="1" x14ac:dyDescent="0.2">
      <c r="D270" s="7"/>
      <c r="E270" s="6"/>
      <c r="H270" s="11"/>
      <c r="I270" s="8"/>
      <c r="S270" s="7"/>
      <c r="T270" s="7"/>
      <c r="U270" s="7"/>
      <c r="V270" s="7"/>
      <c r="W270" s="7"/>
      <c r="X270" s="13"/>
    </row>
    <row r="271" spans="4:24" s="1" customFormat="1" x14ac:dyDescent="0.2">
      <c r="D271" s="7"/>
      <c r="E271" s="6"/>
      <c r="H271" s="11"/>
      <c r="I271" s="8"/>
      <c r="S271" s="7"/>
      <c r="T271" s="7"/>
      <c r="U271" s="7"/>
      <c r="V271" s="7"/>
      <c r="W271" s="7"/>
      <c r="X271" s="13"/>
    </row>
    <row r="272" spans="4:24" s="1" customFormat="1" x14ac:dyDescent="0.2">
      <c r="D272" s="7"/>
      <c r="E272" s="6"/>
      <c r="H272" s="11"/>
      <c r="I272" s="8"/>
      <c r="S272" s="7"/>
      <c r="T272" s="7"/>
      <c r="U272" s="7"/>
      <c r="V272" s="7"/>
      <c r="W272" s="7"/>
      <c r="X272" s="13"/>
    </row>
    <row r="273" spans="4:24" s="1" customFormat="1" x14ac:dyDescent="0.2">
      <c r="D273" s="7"/>
      <c r="E273" s="6"/>
      <c r="H273" s="11"/>
      <c r="I273" s="8"/>
      <c r="S273" s="7"/>
      <c r="T273" s="7"/>
      <c r="U273" s="7"/>
      <c r="V273" s="7"/>
      <c r="W273" s="7"/>
      <c r="X273" s="13"/>
    </row>
    <row r="274" spans="4:24" s="1" customFormat="1" x14ac:dyDescent="0.2">
      <c r="D274" s="7"/>
      <c r="E274" s="6"/>
      <c r="H274" s="11"/>
      <c r="I274" s="8"/>
      <c r="S274" s="7"/>
      <c r="T274" s="7"/>
      <c r="U274" s="7"/>
      <c r="V274" s="7"/>
      <c r="W274" s="7"/>
      <c r="X274" s="13"/>
    </row>
    <row r="275" spans="4:24" s="1" customFormat="1" x14ac:dyDescent="0.2">
      <c r="D275" s="7"/>
      <c r="E275" s="6"/>
      <c r="H275" s="11"/>
      <c r="I275" s="8"/>
      <c r="S275" s="7"/>
      <c r="T275" s="7"/>
      <c r="U275" s="7"/>
      <c r="V275" s="7"/>
      <c r="W275" s="7"/>
      <c r="X275" s="13"/>
    </row>
    <row r="276" spans="4:24" s="1" customFormat="1" x14ac:dyDescent="0.2">
      <c r="D276" s="7"/>
      <c r="E276" s="6"/>
      <c r="H276" s="11"/>
      <c r="I276" s="8"/>
      <c r="S276" s="7"/>
      <c r="T276" s="7"/>
      <c r="U276" s="7"/>
      <c r="V276" s="7"/>
      <c r="W276" s="7"/>
      <c r="X276" s="13"/>
    </row>
    <row r="277" spans="4:24" s="1" customFormat="1" x14ac:dyDescent="0.2">
      <c r="D277" s="7"/>
      <c r="E277" s="6"/>
      <c r="H277" s="11"/>
      <c r="I277" s="8"/>
      <c r="S277" s="7"/>
      <c r="T277" s="7"/>
      <c r="U277" s="7"/>
      <c r="V277" s="7"/>
      <c r="W277" s="7"/>
      <c r="X277" s="13"/>
    </row>
    <row r="278" spans="4:24" s="1" customFormat="1" x14ac:dyDescent="0.2">
      <c r="D278" s="7"/>
      <c r="E278" s="6"/>
      <c r="H278" s="11"/>
      <c r="I278" s="8"/>
      <c r="S278" s="7"/>
      <c r="T278" s="7"/>
      <c r="U278" s="7"/>
      <c r="V278" s="7"/>
      <c r="W278" s="7"/>
      <c r="X278" s="13"/>
    </row>
    <row r="279" spans="4:24" s="1" customFormat="1" x14ac:dyDescent="0.2">
      <c r="D279" s="7"/>
      <c r="E279" s="6"/>
      <c r="H279" s="11"/>
      <c r="I279" s="8"/>
      <c r="S279" s="7"/>
      <c r="T279" s="7"/>
      <c r="U279" s="7"/>
      <c r="V279" s="7"/>
      <c r="W279" s="7"/>
      <c r="X279" s="13"/>
    </row>
    <row r="280" spans="4:24" s="1" customFormat="1" x14ac:dyDescent="0.2">
      <c r="D280" s="7"/>
      <c r="E280" s="6"/>
      <c r="H280" s="11"/>
      <c r="I280" s="8"/>
      <c r="S280" s="7"/>
      <c r="T280" s="7"/>
      <c r="U280" s="7"/>
      <c r="V280" s="7"/>
      <c r="W280" s="7"/>
      <c r="X280" s="13"/>
    </row>
    <row r="281" spans="4:24" s="1" customFormat="1" x14ac:dyDescent="0.2">
      <c r="D281" s="7"/>
      <c r="E281" s="6"/>
      <c r="H281" s="11"/>
      <c r="I281" s="8"/>
      <c r="S281" s="7"/>
      <c r="T281" s="7"/>
      <c r="U281" s="7"/>
      <c r="V281" s="7"/>
      <c r="W281" s="7"/>
      <c r="X281" s="13"/>
    </row>
    <row r="282" spans="4:24" s="1" customFormat="1" x14ac:dyDescent="0.2">
      <c r="D282" s="7"/>
      <c r="E282" s="6"/>
      <c r="H282" s="11"/>
      <c r="I282" s="8"/>
      <c r="S282" s="7"/>
      <c r="T282" s="7"/>
      <c r="U282" s="7"/>
      <c r="V282" s="7"/>
      <c r="W282" s="7"/>
      <c r="X282" s="13"/>
    </row>
    <row r="283" spans="4:24" s="1" customFormat="1" x14ac:dyDescent="0.2">
      <c r="D283" s="7"/>
      <c r="E283" s="6"/>
      <c r="H283" s="11"/>
      <c r="I283" s="8"/>
      <c r="S283" s="7"/>
      <c r="T283" s="7"/>
      <c r="U283" s="7"/>
      <c r="V283" s="7"/>
      <c r="W283" s="7"/>
      <c r="X283" s="13"/>
    </row>
    <row r="284" spans="4:24" s="1" customFormat="1" x14ac:dyDescent="0.2">
      <c r="D284" s="7"/>
      <c r="E284" s="6"/>
      <c r="H284" s="11"/>
      <c r="I284" s="8"/>
      <c r="S284" s="7"/>
      <c r="T284" s="7"/>
      <c r="U284" s="7"/>
      <c r="V284" s="7"/>
      <c r="W284" s="7"/>
      <c r="X284" s="13"/>
    </row>
    <row r="285" spans="4:24" s="1" customFormat="1" x14ac:dyDescent="0.2">
      <c r="D285" s="7"/>
      <c r="E285" s="6"/>
      <c r="H285" s="11"/>
      <c r="I285" s="8"/>
      <c r="S285" s="7"/>
      <c r="T285" s="7"/>
      <c r="U285" s="7"/>
      <c r="V285" s="7"/>
      <c r="W285" s="7"/>
      <c r="X285" s="13"/>
    </row>
    <row r="286" spans="4:24" s="1" customFormat="1" x14ac:dyDescent="0.2">
      <c r="D286" s="7"/>
      <c r="E286" s="6"/>
      <c r="H286" s="11"/>
      <c r="I286" s="8"/>
      <c r="S286" s="7"/>
      <c r="T286" s="7"/>
      <c r="U286" s="7"/>
      <c r="V286" s="7"/>
      <c r="W286" s="7"/>
      <c r="X286" s="13"/>
    </row>
    <row r="287" spans="4:24" s="1" customFormat="1" x14ac:dyDescent="0.2">
      <c r="D287" s="7"/>
      <c r="E287" s="6"/>
      <c r="H287" s="11"/>
      <c r="I287" s="8"/>
      <c r="S287" s="7"/>
      <c r="T287" s="7"/>
      <c r="U287" s="7"/>
      <c r="V287" s="7"/>
      <c r="W287" s="7"/>
      <c r="X287" s="13"/>
    </row>
    <row r="288" spans="4:24" s="1" customFormat="1" x14ac:dyDescent="0.2">
      <c r="D288" s="7"/>
      <c r="E288" s="6"/>
      <c r="H288" s="11"/>
      <c r="I288" s="8"/>
      <c r="S288" s="7"/>
      <c r="T288" s="7"/>
      <c r="U288" s="7"/>
      <c r="V288" s="7"/>
      <c r="W288" s="7"/>
      <c r="X288" s="13"/>
    </row>
    <row r="289" spans="4:24" s="1" customFormat="1" x14ac:dyDescent="0.2">
      <c r="D289" s="7"/>
      <c r="E289" s="6"/>
      <c r="H289" s="11"/>
      <c r="I289" s="8"/>
      <c r="S289" s="7"/>
      <c r="T289" s="7"/>
      <c r="U289" s="7"/>
      <c r="V289" s="7"/>
      <c r="W289" s="7"/>
      <c r="X289" s="13"/>
    </row>
    <row r="290" spans="4:24" s="1" customFormat="1" x14ac:dyDescent="0.2">
      <c r="D290" s="7"/>
      <c r="E290" s="6"/>
      <c r="H290" s="11"/>
      <c r="I290" s="8"/>
      <c r="S290" s="7"/>
      <c r="T290" s="7"/>
      <c r="U290" s="7"/>
      <c r="V290" s="7"/>
      <c r="W290" s="7"/>
      <c r="X290" s="13"/>
    </row>
    <row r="291" spans="4:24" s="1" customFormat="1" x14ac:dyDescent="0.2">
      <c r="D291" s="7"/>
      <c r="E291" s="6"/>
      <c r="H291" s="11"/>
      <c r="I291" s="8"/>
      <c r="S291" s="7"/>
      <c r="T291" s="7"/>
      <c r="U291" s="7"/>
      <c r="V291" s="7"/>
      <c r="W291" s="7"/>
      <c r="X291" s="13"/>
    </row>
    <row r="292" spans="4:24" s="1" customFormat="1" x14ac:dyDescent="0.2">
      <c r="D292" s="7"/>
      <c r="E292" s="6"/>
      <c r="H292" s="11"/>
      <c r="I292" s="8"/>
      <c r="S292" s="7"/>
      <c r="T292" s="7"/>
      <c r="U292" s="7"/>
      <c r="V292" s="7"/>
      <c r="W292" s="7"/>
      <c r="X292" s="13"/>
    </row>
    <row r="293" spans="4:24" s="1" customFormat="1" x14ac:dyDescent="0.2">
      <c r="D293" s="7"/>
      <c r="E293" s="6"/>
      <c r="H293" s="11"/>
      <c r="I293" s="8"/>
      <c r="S293" s="7"/>
      <c r="T293" s="7"/>
      <c r="U293" s="7"/>
      <c r="V293" s="7"/>
      <c r="W293" s="7"/>
      <c r="X293" s="13"/>
    </row>
    <row r="294" spans="4:24" s="1" customFormat="1" x14ac:dyDescent="0.2">
      <c r="D294" s="7"/>
      <c r="E294" s="6"/>
      <c r="H294" s="11"/>
      <c r="I294" s="8"/>
      <c r="S294" s="7"/>
      <c r="T294" s="7"/>
      <c r="U294" s="7"/>
      <c r="V294" s="7"/>
      <c r="W294" s="7"/>
      <c r="X294" s="13"/>
    </row>
    <row r="295" spans="4:24" s="1" customFormat="1" x14ac:dyDescent="0.2">
      <c r="D295" s="7"/>
      <c r="E295" s="6"/>
      <c r="H295" s="11"/>
      <c r="I295" s="8"/>
      <c r="S295" s="7"/>
      <c r="T295" s="7"/>
      <c r="U295" s="7"/>
      <c r="V295" s="7"/>
      <c r="W295" s="7"/>
      <c r="X295" s="13"/>
    </row>
    <row r="296" spans="4:24" s="1" customFormat="1" x14ac:dyDescent="0.2">
      <c r="D296" s="7"/>
      <c r="E296" s="6"/>
      <c r="H296" s="11"/>
      <c r="I296" s="8"/>
      <c r="S296" s="7"/>
      <c r="T296" s="7"/>
      <c r="U296" s="7"/>
      <c r="V296" s="7"/>
      <c r="W296" s="7"/>
      <c r="X296" s="13"/>
    </row>
    <row r="297" spans="4:24" s="1" customFormat="1" x14ac:dyDescent="0.2">
      <c r="D297" s="7"/>
      <c r="E297" s="6"/>
      <c r="H297" s="11"/>
      <c r="I297" s="8"/>
      <c r="S297" s="7"/>
      <c r="T297" s="7"/>
      <c r="U297" s="7"/>
      <c r="V297" s="7"/>
      <c r="W297" s="7"/>
      <c r="X297" s="13"/>
    </row>
    <row r="298" spans="4:24" s="1" customFormat="1" x14ac:dyDescent="0.2">
      <c r="D298" s="7"/>
      <c r="E298" s="6"/>
      <c r="H298" s="11"/>
      <c r="I298" s="8"/>
      <c r="S298" s="7"/>
      <c r="T298" s="7"/>
      <c r="U298" s="7"/>
      <c r="V298" s="7"/>
      <c r="W298" s="7"/>
      <c r="X298" s="13"/>
    </row>
    <row r="299" spans="4:24" s="1" customFormat="1" x14ac:dyDescent="0.2">
      <c r="D299" s="7"/>
      <c r="E299" s="6"/>
      <c r="H299" s="11"/>
      <c r="I299" s="8"/>
      <c r="S299" s="7"/>
      <c r="T299" s="7"/>
      <c r="U299" s="7"/>
      <c r="V299" s="7"/>
      <c r="W299" s="7"/>
      <c r="X299" s="13"/>
    </row>
    <row r="300" spans="4:24" s="1" customFormat="1" x14ac:dyDescent="0.2">
      <c r="D300" s="7"/>
      <c r="E300" s="6"/>
      <c r="H300" s="11"/>
      <c r="I300" s="8"/>
      <c r="S300" s="7"/>
      <c r="T300" s="7"/>
      <c r="U300" s="7"/>
      <c r="V300" s="7"/>
      <c r="W300" s="7"/>
      <c r="X300" s="13"/>
    </row>
    <row r="301" spans="4:24" s="1" customFormat="1" x14ac:dyDescent="0.2">
      <c r="D301" s="7"/>
      <c r="E301" s="6"/>
      <c r="H301" s="11"/>
      <c r="I301" s="8"/>
      <c r="S301" s="7"/>
      <c r="T301" s="7"/>
      <c r="U301" s="7"/>
      <c r="V301" s="7"/>
      <c r="W301" s="7"/>
      <c r="X301" s="13"/>
    </row>
    <row r="302" spans="4:24" s="1" customFormat="1" x14ac:dyDescent="0.2">
      <c r="D302" s="7"/>
      <c r="E302" s="6"/>
      <c r="H302" s="11"/>
      <c r="I302" s="8"/>
      <c r="S302" s="7"/>
      <c r="T302" s="7"/>
      <c r="U302" s="7"/>
      <c r="V302" s="7"/>
      <c r="W302" s="7"/>
      <c r="X302" s="13"/>
    </row>
    <row r="303" spans="4:24" s="1" customFormat="1" x14ac:dyDescent="0.2">
      <c r="D303" s="7"/>
      <c r="E303" s="6"/>
      <c r="H303" s="11"/>
      <c r="I303" s="8"/>
      <c r="S303" s="7"/>
      <c r="T303" s="7"/>
      <c r="U303" s="7"/>
      <c r="V303" s="7"/>
      <c r="W303" s="7"/>
      <c r="X303" s="13"/>
    </row>
    <row r="304" spans="4:24" s="1" customFormat="1" x14ac:dyDescent="0.2">
      <c r="D304" s="7"/>
      <c r="E304" s="6"/>
      <c r="H304" s="11"/>
      <c r="I304" s="8"/>
      <c r="S304" s="7"/>
      <c r="T304" s="7"/>
      <c r="U304" s="7"/>
      <c r="V304" s="7"/>
      <c r="W304" s="7"/>
      <c r="X304" s="13"/>
    </row>
    <row r="305" spans="4:24" s="1" customFormat="1" x14ac:dyDescent="0.2">
      <c r="D305" s="7"/>
      <c r="E305" s="6"/>
      <c r="H305" s="11"/>
      <c r="I305" s="8"/>
      <c r="S305" s="7"/>
      <c r="T305" s="7"/>
      <c r="U305" s="7"/>
      <c r="V305" s="7"/>
      <c r="W305" s="7"/>
      <c r="X305" s="13"/>
    </row>
    <row r="306" spans="4:24" s="1" customFormat="1" x14ac:dyDescent="0.2">
      <c r="D306" s="7"/>
      <c r="E306" s="6"/>
      <c r="H306" s="11"/>
      <c r="I306" s="8"/>
      <c r="S306" s="7"/>
      <c r="T306" s="7"/>
      <c r="U306" s="7"/>
      <c r="V306" s="7"/>
      <c r="W306" s="7"/>
      <c r="X306" s="13"/>
    </row>
    <row r="307" spans="4:24" s="1" customFormat="1" x14ac:dyDescent="0.2">
      <c r="D307" s="7"/>
      <c r="E307" s="6"/>
      <c r="H307" s="11"/>
      <c r="I307" s="8"/>
      <c r="S307" s="7"/>
      <c r="T307" s="7"/>
      <c r="U307" s="7"/>
      <c r="V307" s="7"/>
      <c r="W307" s="7"/>
      <c r="X307" s="13"/>
    </row>
    <row r="308" spans="4:24" s="1" customFormat="1" x14ac:dyDescent="0.2">
      <c r="D308" s="7"/>
      <c r="E308" s="6"/>
      <c r="H308" s="11"/>
      <c r="I308" s="8"/>
      <c r="S308" s="7"/>
      <c r="T308" s="7"/>
      <c r="U308" s="7"/>
      <c r="V308" s="7"/>
      <c r="W308" s="7"/>
      <c r="X308" s="13"/>
    </row>
    <row r="309" spans="4:24" s="1" customFormat="1" x14ac:dyDescent="0.2">
      <c r="D309" s="7"/>
      <c r="E309" s="6"/>
      <c r="H309" s="11"/>
      <c r="I309" s="8"/>
      <c r="S309" s="7"/>
      <c r="T309" s="7"/>
      <c r="U309" s="7"/>
      <c r="V309" s="7"/>
      <c r="W309" s="7"/>
      <c r="X309" s="13"/>
    </row>
    <row r="310" spans="4:24" s="1" customFormat="1" x14ac:dyDescent="0.2">
      <c r="D310" s="7"/>
      <c r="E310" s="6"/>
      <c r="H310" s="11"/>
      <c r="I310" s="8"/>
      <c r="S310" s="7"/>
      <c r="T310" s="7"/>
      <c r="U310" s="7"/>
      <c r="V310" s="7"/>
      <c r="W310" s="7"/>
      <c r="X310" s="13"/>
    </row>
    <row r="311" spans="4:24" s="1" customFormat="1" x14ac:dyDescent="0.2">
      <c r="D311" s="7"/>
      <c r="E311" s="6"/>
      <c r="H311" s="11"/>
      <c r="I311" s="8"/>
      <c r="S311" s="7"/>
      <c r="T311" s="7"/>
      <c r="U311" s="7"/>
      <c r="V311" s="7"/>
      <c r="W311" s="7"/>
      <c r="X311" s="13"/>
    </row>
    <row r="312" spans="4:24" s="1" customFormat="1" x14ac:dyDescent="0.2">
      <c r="D312" s="7"/>
      <c r="E312" s="6"/>
      <c r="H312" s="11"/>
      <c r="I312" s="8"/>
      <c r="S312" s="7"/>
      <c r="T312" s="7"/>
      <c r="U312" s="7"/>
      <c r="V312" s="7"/>
      <c r="W312" s="7"/>
      <c r="X312" s="13"/>
    </row>
    <row r="313" spans="4:24" s="1" customFormat="1" x14ac:dyDescent="0.2">
      <c r="D313" s="7"/>
      <c r="E313" s="6"/>
      <c r="H313" s="11"/>
      <c r="I313" s="8"/>
      <c r="S313" s="7"/>
      <c r="T313" s="7"/>
      <c r="U313" s="7"/>
      <c r="V313" s="7"/>
      <c r="W313" s="7"/>
      <c r="X313" s="13"/>
    </row>
    <row r="314" spans="4:24" s="1" customFormat="1" x14ac:dyDescent="0.2">
      <c r="D314" s="7"/>
      <c r="E314" s="6"/>
      <c r="H314" s="11"/>
      <c r="I314" s="8"/>
      <c r="S314" s="7"/>
      <c r="T314" s="7"/>
      <c r="U314" s="7"/>
      <c r="V314" s="7"/>
      <c r="W314" s="7"/>
      <c r="X314" s="13"/>
    </row>
    <row r="315" spans="4:24" s="1" customFormat="1" x14ac:dyDescent="0.2">
      <c r="D315" s="7"/>
      <c r="E315" s="6"/>
      <c r="H315" s="11"/>
      <c r="I315" s="8"/>
      <c r="S315" s="7"/>
      <c r="T315" s="7"/>
      <c r="U315" s="7"/>
      <c r="V315" s="7"/>
      <c r="W315" s="7"/>
      <c r="X315" s="13"/>
    </row>
    <row r="316" spans="4:24" s="1" customFormat="1" x14ac:dyDescent="0.2">
      <c r="D316" s="7"/>
      <c r="E316" s="6"/>
      <c r="H316" s="11"/>
      <c r="I316" s="8"/>
      <c r="S316" s="7"/>
      <c r="T316" s="7"/>
      <c r="U316" s="7"/>
      <c r="V316" s="7"/>
      <c r="W316" s="7"/>
      <c r="X316" s="13"/>
    </row>
    <row r="317" spans="4:24" s="1" customFormat="1" x14ac:dyDescent="0.2">
      <c r="D317" s="7"/>
      <c r="E317" s="6"/>
      <c r="H317" s="11"/>
      <c r="I317" s="8"/>
      <c r="S317" s="7"/>
      <c r="T317" s="7"/>
      <c r="U317" s="7"/>
      <c r="V317" s="7"/>
      <c r="W317" s="7"/>
      <c r="X317" s="13"/>
    </row>
    <row r="318" spans="4:24" s="1" customFormat="1" x14ac:dyDescent="0.2">
      <c r="D318" s="7"/>
      <c r="E318" s="6"/>
      <c r="H318" s="11"/>
      <c r="I318" s="8"/>
      <c r="S318" s="7"/>
      <c r="T318" s="7"/>
      <c r="U318" s="7"/>
      <c r="V318" s="7"/>
      <c r="W318" s="7"/>
      <c r="X318" s="13"/>
    </row>
    <row r="319" spans="4:24" s="1" customFormat="1" x14ac:dyDescent="0.2">
      <c r="D319" s="7"/>
      <c r="E319" s="6"/>
      <c r="H319" s="11"/>
      <c r="I319" s="8"/>
      <c r="S319" s="7"/>
      <c r="T319" s="7"/>
      <c r="U319" s="7"/>
      <c r="V319" s="7"/>
      <c r="W319" s="7"/>
      <c r="X319" s="13"/>
    </row>
    <row r="320" spans="4:24" s="1" customFormat="1" x14ac:dyDescent="0.2">
      <c r="D320" s="7"/>
      <c r="E320" s="6"/>
      <c r="H320" s="11"/>
      <c r="I320" s="8"/>
      <c r="S320" s="7"/>
      <c r="T320" s="7"/>
      <c r="U320" s="7"/>
      <c r="V320" s="7"/>
      <c r="W320" s="7"/>
      <c r="X320" s="13"/>
    </row>
    <row r="321" spans="4:24" s="1" customFormat="1" x14ac:dyDescent="0.2">
      <c r="D321" s="7"/>
      <c r="E321" s="6"/>
      <c r="H321" s="11"/>
      <c r="I321" s="8"/>
      <c r="S321" s="7"/>
      <c r="T321" s="7"/>
      <c r="U321" s="7"/>
      <c r="V321" s="7"/>
      <c r="W321" s="7"/>
      <c r="X321" s="13"/>
    </row>
    <row r="322" spans="4:24" s="1" customFormat="1" x14ac:dyDescent="0.2">
      <c r="D322" s="7"/>
      <c r="E322" s="6"/>
      <c r="H322" s="11"/>
      <c r="I322" s="8"/>
      <c r="S322" s="7"/>
      <c r="T322" s="7"/>
      <c r="U322" s="7"/>
      <c r="V322" s="7"/>
      <c r="W322" s="7"/>
      <c r="X322" s="13"/>
    </row>
    <row r="323" spans="4:24" s="1" customFormat="1" x14ac:dyDescent="0.2">
      <c r="D323" s="7"/>
      <c r="E323" s="6"/>
      <c r="H323" s="11"/>
      <c r="I323" s="8"/>
      <c r="S323" s="7"/>
      <c r="T323" s="7"/>
      <c r="U323" s="7"/>
      <c r="V323" s="7"/>
      <c r="W323" s="7"/>
      <c r="X323" s="13"/>
    </row>
    <row r="324" spans="4:24" s="1" customFormat="1" x14ac:dyDescent="0.2">
      <c r="D324" s="7"/>
      <c r="E324" s="6"/>
      <c r="H324" s="11"/>
      <c r="I324" s="8"/>
      <c r="S324" s="7"/>
      <c r="T324" s="7"/>
      <c r="U324" s="7"/>
      <c r="V324" s="7"/>
      <c r="W324" s="7"/>
      <c r="X324" s="13"/>
    </row>
    <row r="325" spans="4:24" s="1" customFormat="1" x14ac:dyDescent="0.2">
      <c r="D325" s="7"/>
      <c r="E325" s="6"/>
      <c r="H325" s="11"/>
      <c r="I325" s="8"/>
      <c r="S325" s="7"/>
      <c r="T325" s="7"/>
      <c r="U325" s="7"/>
      <c r="V325" s="7"/>
      <c r="W325" s="7"/>
      <c r="X325" s="13"/>
    </row>
    <row r="326" spans="4:24" s="1" customFormat="1" x14ac:dyDescent="0.2">
      <c r="D326" s="7"/>
      <c r="E326" s="6"/>
      <c r="H326" s="11"/>
      <c r="I326" s="8"/>
      <c r="S326" s="7"/>
      <c r="T326" s="7"/>
      <c r="U326" s="7"/>
      <c r="V326" s="7"/>
      <c r="W326" s="7"/>
      <c r="X326" s="13"/>
    </row>
    <row r="327" spans="4:24" s="1" customFormat="1" x14ac:dyDescent="0.2">
      <c r="D327" s="7"/>
      <c r="E327" s="6"/>
      <c r="H327" s="11"/>
      <c r="I327" s="8"/>
      <c r="S327" s="7"/>
      <c r="T327" s="7"/>
      <c r="U327" s="7"/>
      <c r="V327" s="7"/>
      <c r="W327" s="7"/>
      <c r="X327" s="13"/>
    </row>
    <row r="328" spans="4:24" s="1" customFormat="1" x14ac:dyDescent="0.2">
      <c r="D328" s="7"/>
      <c r="E328" s="6"/>
      <c r="H328" s="11"/>
      <c r="I328" s="8"/>
      <c r="S328" s="7"/>
      <c r="T328" s="7"/>
      <c r="U328" s="7"/>
      <c r="V328" s="7"/>
      <c r="W328" s="7"/>
      <c r="X328" s="13"/>
    </row>
    <row r="329" spans="4:24" s="1" customFormat="1" x14ac:dyDescent="0.2">
      <c r="D329" s="7"/>
      <c r="E329" s="6"/>
      <c r="H329" s="11"/>
      <c r="I329" s="8"/>
      <c r="S329" s="7"/>
      <c r="T329" s="7"/>
      <c r="U329" s="7"/>
      <c r="V329" s="7"/>
      <c r="W329" s="7"/>
      <c r="X329" s="13"/>
    </row>
    <row r="330" spans="4:24" s="1" customFormat="1" x14ac:dyDescent="0.2">
      <c r="D330" s="7"/>
      <c r="E330" s="6"/>
      <c r="H330" s="11"/>
      <c r="I330" s="8"/>
      <c r="S330" s="7"/>
      <c r="T330" s="7"/>
      <c r="U330" s="7"/>
      <c r="V330" s="7"/>
      <c r="W330" s="7"/>
      <c r="X330" s="13"/>
    </row>
    <row r="331" spans="4:24" s="1" customFormat="1" x14ac:dyDescent="0.2">
      <c r="D331" s="7"/>
      <c r="E331" s="6"/>
      <c r="H331" s="11"/>
      <c r="I331" s="8"/>
      <c r="S331" s="7"/>
      <c r="T331" s="7"/>
      <c r="U331" s="7"/>
      <c r="V331" s="7"/>
      <c r="W331" s="7"/>
      <c r="X331" s="13"/>
    </row>
    <row r="332" spans="4:24" s="1" customFormat="1" x14ac:dyDescent="0.2">
      <c r="D332" s="7"/>
      <c r="E332" s="6"/>
      <c r="H332" s="11"/>
      <c r="I332" s="8"/>
      <c r="S332" s="7"/>
      <c r="T332" s="7"/>
      <c r="U332" s="7"/>
      <c r="V332" s="7"/>
      <c r="W332" s="7"/>
      <c r="X332" s="13"/>
    </row>
    <row r="333" spans="4:24" s="1" customFormat="1" x14ac:dyDescent="0.2">
      <c r="D333" s="7"/>
      <c r="E333" s="6"/>
      <c r="H333" s="11"/>
      <c r="I333" s="8"/>
      <c r="S333" s="7"/>
      <c r="T333" s="7"/>
      <c r="U333" s="7"/>
      <c r="V333" s="7"/>
      <c r="W333" s="7"/>
      <c r="X333" s="13"/>
    </row>
    <row r="334" spans="4:24" s="1" customFormat="1" x14ac:dyDescent="0.2">
      <c r="D334" s="7"/>
      <c r="E334" s="6"/>
      <c r="H334" s="11"/>
      <c r="I334" s="8"/>
      <c r="S334" s="7"/>
      <c r="T334" s="7"/>
      <c r="U334" s="7"/>
      <c r="V334" s="7"/>
      <c r="W334" s="7"/>
      <c r="X334" s="13"/>
    </row>
    <row r="335" spans="4:24" s="1" customFormat="1" x14ac:dyDescent="0.2">
      <c r="D335" s="7"/>
      <c r="E335" s="6"/>
      <c r="H335" s="11"/>
      <c r="I335" s="8"/>
      <c r="S335" s="7"/>
      <c r="T335" s="7"/>
      <c r="U335" s="7"/>
      <c r="V335" s="7"/>
      <c r="W335" s="7"/>
      <c r="X335" s="13"/>
    </row>
    <row r="336" spans="4:24" s="1" customFormat="1" x14ac:dyDescent="0.2">
      <c r="D336" s="7"/>
      <c r="E336" s="6"/>
      <c r="H336" s="11"/>
      <c r="I336" s="8"/>
      <c r="S336" s="7"/>
      <c r="T336" s="7"/>
      <c r="U336" s="7"/>
      <c r="V336" s="7"/>
      <c r="W336" s="7"/>
      <c r="X336" s="13"/>
    </row>
    <row r="337" spans="4:24" s="1" customFormat="1" x14ac:dyDescent="0.2">
      <c r="D337" s="7"/>
      <c r="E337" s="6"/>
      <c r="H337" s="11"/>
      <c r="I337" s="8"/>
      <c r="S337" s="7"/>
      <c r="T337" s="7"/>
      <c r="U337" s="7"/>
      <c r="V337" s="7"/>
      <c r="W337" s="7"/>
      <c r="X337" s="13"/>
    </row>
    <row r="338" spans="4:24" s="1" customFormat="1" x14ac:dyDescent="0.2">
      <c r="D338" s="7"/>
      <c r="E338" s="6"/>
      <c r="H338" s="11"/>
      <c r="I338" s="8"/>
      <c r="S338" s="7"/>
      <c r="T338" s="7"/>
      <c r="U338" s="7"/>
      <c r="V338" s="7"/>
      <c r="W338" s="7"/>
      <c r="X338" s="13"/>
    </row>
    <row r="339" spans="4:24" s="1" customFormat="1" x14ac:dyDescent="0.2">
      <c r="D339" s="7"/>
      <c r="E339" s="6"/>
      <c r="H339" s="11"/>
      <c r="I339" s="8"/>
      <c r="S339" s="7"/>
      <c r="T339" s="7"/>
      <c r="U339" s="7"/>
      <c r="V339" s="7"/>
      <c r="W339" s="7"/>
      <c r="X339" s="13"/>
    </row>
    <row r="340" spans="4:24" s="1" customFormat="1" x14ac:dyDescent="0.2">
      <c r="D340" s="7"/>
      <c r="E340" s="6"/>
      <c r="H340" s="11"/>
      <c r="I340" s="8"/>
      <c r="S340" s="7"/>
      <c r="T340" s="7"/>
      <c r="U340" s="7"/>
      <c r="V340" s="7"/>
      <c r="W340" s="7"/>
      <c r="X340" s="13"/>
    </row>
    <row r="341" spans="4:24" s="1" customFormat="1" x14ac:dyDescent="0.2">
      <c r="D341" s="7"/>
      <c r="E341" s="6"/>
      <c r="H341" s="11"/>
      <c r="I341" s="8"/>
      <c r="S341" s="7"/>
      <c r="T341" s="7"/>
      <c r="U341" s="7"/>
      <c r="V341" s="7"/>
      <c r="W341" s="7"/>
      <c r="X341" s="13"/>
    </row>
    <row r="342" spans="4:24" s="1" customFormat="1" x14ac:dyDescent="0.2">
      <c r="D342" s="7"/>
      <c r="E342" s="6"/>
      <c r="H342" s="11"/>
      <c r="I342" s="8"/>
      <c r="S342" s="7"/>
      <c r="T342" s="7"/>
      <c r="U342" s="7"/>
      <c r="V342" s="7"/>
      <c r="W342" s="7"/>
      <c r="X342" s="13"/>
    </row>
    <row r="343" spans="4:24" s="1" customFormat="1" x14ac:dyDescent="0.2">
      <c r="D343" s="7"/>
      <c r="E343" s="6"/>
      <c r="H343" s="11"/>
      <c r="I343" s="8"/>
      <c r="S343" s="7"/>
      <c r="T343" s="7"/>
      <c r="U343" s="7"/>
      <c r="V343" s="7"/>
      <c r="W343" s="7"/>
      <c r="X343" s="13"/>
    </row>
    <row r="344" spans="4:24" s="1" customFormat="1" x14ac:dyDescent="0.2">
      <c r="D344" s="7"/>
      <c r="E344" s="6"/>
      <c r="H344" s="11"/>
      <c r="I344" s="8"/>
      <c r="S344" s="7"/>
      <c r="T344" s="7"/>
      <c r="U344" s="7"/>
      <c r="V344" s="7"/>
      <c r="W344" s="7"/>
      <c r="X344" s="13"/>
    </row>
    <row r="345" spans="4:24" s="1" customFormat="1" x14ac:dyDescent="0.2">
      <c r="D345" s="7"/>
      <c r="E345" s="6"/>
      <c r="H345" s="11"/>
      <c r="I345" s="8"/>
      <c r="S345" s="7"/>
      <c r="T345" s="7"/>
      <c r="U345" s="7"/>
      <c r="V345" s="7"/>
      <c r="W345" s="7"/>
      <c r="X345" s="13"/>
    </row>
    <row r="346" spans="4:24" s="1" customFormat="1" x14ac:dyDescent="0.2">
      <c r="D346" s="7"/>
      <c r="E346" s="6"/>
      <c r="H346" s="11"/>
      <c r="I346" s="8"/>
      <c r="S346" s="7"/>
      <c r="T346" s="7"/>
      <c r="U346" s="7"/>
      <c r="V346" s="7"/>
      <c r="W346" s="7"/>
      <c r="X346" s="13"/>
    </row>
  </sheetData>
  <sheetProtection sheet="1" objects="1" scenarios="1" formatCells="0" formatColumns="0" formatRows="0" selectLockedCells="1"/>
  <sortState xmlns:xlrd2="http://schemas.microsoft.com/office/spreadsheetml/2017/richdata2" ref="A9:AI28">
    <sortCondition ref="T19"/>
    <sortCondition ref="K9"/>
  </sortState>
  <mergeCells count="44">
    <mergeCell ref="V31:Y31"/>
    <mergeCell ref="G30:H30"/>
    <mergeCell ref="I30:L30"/>
    <mergeCell ref="M30:P30"/>
    <mergeCell ref="Q30:T30"/>
    <mergeCell ref="G31:H31"/>
    <mergeCell ref="I31:L31"/>
    <mergeCell ref="M31:P31"/>
    <mergeCell ref="Q31:T31"/>
    <mergeCell ref="B5:D5"/>
    <mergeCell ref="A1:C1"/>
    <mergeCell ref="A2:C2"/>
    <mergeCell ref="G7:G8"/>
    <mergeCell ref="F7:F8"/>
    <mergeCell ref="A3:C3"/>
    <mergeCell ref="B7:B8"/>
    <mergeCell ref="W7:W8"/>
    <mergeCell ref="R7:T7"/>
    <mergeCell ref="Y7:Y8"/>
    <mergeCell ref="V7:V8"/>
    <mergeCell ref="A7:A8"/>
    <mergeCell ref="U7:U8"/>
    <mergeCell ref="I7:I8"/>
    <mergeCell ref="E7:E8"/>
    <mergeCell ref="K7:K8"/>
    <mergeCell ref="D7:D8"/>
    <mergeCell ref="C7:C8"/>
    <mergeCell ref="H7:H8"/>
    <mergeCell ref="AF7:AF8"/>
    <mergeCell ref="AG7:AG8"/>
    <mergeCell ref="AH7:AH8"/>
    <mergeCell ref="AI7:AI8"/>
    <mergeCell ref="F1:N2"/>
    <mergeCell ref="F3:N3"/>
    <mergeCell ref="O5:P5"/>
    <mergeCell ref="F4:N4"/>
    <mergeCell ref="AE7:AE8"/>
    <mergeCell ref="AC7:AC8"/>
    <mergeCell ref="AD7:AD8"/>
    <mergeCell ref="F5:N5"/>
    <mergeCell ref="AA7:AA8"/>
    <mergeCell ref="Z7:Z8"/>
    <mergeCell ref="X7:X8"/>
    <mergeCell ref="J7:J8"/>
  </mergeCells>
  <phoneticPr fontId="5" type="noConversion"/>
  <conditionalFormatting sqref="W6 W1 W3:W4 W32:W65526">
    <cfRule type="cellIs" dxfId="141" priority="290" stopIfTrue="1" operator="equal">
      <formula>"R"</formula>
    </cfRule>
  </conditionalFormatting>
  <conditionalFormatting sqref="Y9:Z9">
    <cfRule type="cellIs" dxfId="140" priority="14" stopIfTrue="1" operator="equal">
      <formula>"monde"</formula>
    </cfRule>
    <cfRule type="cellIs" dxfId="139" priority="15" stopIfTrue="1" operator="equal">
      <formula>"eur."</formula>
    </cfRule>
    <cfRule type="cellIs" dxfId="138" priority="16" stopIfTrue="1" operator="equal">
      <formula>"Col. Fr"</formula>
    </cfRule>
  </conditionalFormatting>
  <conditionalFormatting sqref="E9">
    <cfRule type="cellIs" dxfId="137" priority="17" stopIfTrue="1" operator="equal">
      <formula>"INTERDIT"</formula>
    </cfRule>
  </conditionalFormatting>
  <conditionalFormatting sqref="Y10:Z24">
    <cfRule type="cellIs" dxfId="136" priority="9" stopIfTrue="1" operator="equal">
      <formula>"monde"</formula>
    </cfRule>
    <cfRule type="cellIs" dxfId="135" priority="10" stopIfTrue="1" operator="equal">
      <formula>"eur."</formula>
    </cfRule>
    <cfRule type="cellIs" dxfId="134" priority="11" stopIfTrue="1" operator="equal">
      <formula>"Col. Fr"</formula>
    </cfRule>
  </conditionalFormatting>
  <conditionalFormatting sqref="E10:E24">
    <cfRule type="cellIs" dxfId="133" priority="12" stopIfTrue="1" operator="equal">
      <formula>"INTERDIT"</formula>
    </cfRule>
  </conditionalFormatting>
  <conditionalFormatting sqref="W29">
    <cfRule type="cellIs" dxfId="132" priority="7" stopIfTrue="1" operator="equal">
      <formula>"R"</formula>
    </cfRule>
  </conditionalFormatting>
  <conditionalFormatting sqref="W27">
    <cfRule type="cellIs" dxfId="131" priority="6" stopIfTrue="1" operator="equal">
      <formula>"R"</formula>
    </cfRule>
  </conditionalFormatting>
  <conditionalFormatting sqref="W26">
    <cfRule type="cellIs" dxfId="130" priority="5" stopIfTrue="1" operator="equal">
      <formula>"R"</formula>
    </cfRule>
  </conditionalFormatting>
  <conditionalFormatting sqref="W25">
    <cfRule type="cellIs" dxfId="129" priority="4" stopIfTrue="1" operator="equal">
      <formula>"R"</formula>
    </cfRule>
  </conditionalFormatting>
  <conditionalFormatting sqref="W28">
    <cfRule type="cellIs" dxfId="128" priority="3" stopIfTrue="1" operator="equal">
      <formula>"R"</formula>
    </cfRule>
  </conditionalFormatting>
  <conditionalFormatting sqref="F9:F24">
    <cfRule type="expression" dxfId="127" priority="1" stopIfTrue="1">
      <formula>RIGHT(F9,LEN("'HM'"))="'HM'"</formula>
    </cfRule>
  </conditionalFormatting>
  <dataValidations xWindow="656" yWindow="265" count="3">
    <dataValidation type="list" allowBlank="1" showInputMessage="1" showErrorMessage="1" sqref="B5" xr:uid="{00000000-0002-0000-0000-000000000000}">
      <formula1>listeRégions</formula1>
    </dataValidation>
    <dataValidation type="list" allowBlank="1" showInputMessage="1" showErrorMessage="1" sqref="AF9:AF24" xr:uid="{00000000-0002-0000-0000-000001000000}">
      <formula1>"EXT,INT,1/2 D,1/2 G"</formula1>
    </dataValidation>
    <dataValidation type="list" allowBlank="1" showInputMessage="1" showErrorMessage="1" sqref="AA9:AA24" xr:uid="{00000000-0002-0000-0000-000002000000}">
      <formula1>"0,FA,PL"</formula1>
    </dataValidation>
  </dataValidations>
  <printOptions horizontalCentered="1"/>
  <pageMargins left="0.31496062992125984" right="0.31496062992125984" top="0.27559055118110237" bottom="0.27559055118110237" header="0.19685039370078741" footer="0.19685039370078741"/>
  <pageSetup paperSize="9" scale="41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" r:id="rId4" name="Button 71">
              <controlPr defaultSize="0" print="0" autoFill="0" autoPict="0" macro="[0]!Barreréussie">
                <anchor>
                  <from>
                    <xdr:col>12</xdr:col>
                    <xdr:colOff>447675</xdr:colOff>
                    <xdr:row>0</xdr:row>
                    <xdr:rowOff>180975</xdr:rowOff>
                  </from>
                  <to>
                    <xdr:col>13</xdr:col>
                    <xdr:colOff>447675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5" name="Button 101">
              <controlPr defaultSize="0" print="0" autoFill="0" autoPict="0" macro="[0]!Tricatégorie">
                <anchor>
                  <from>
                    <xdr:col>18</xdr:col>
                    <xdr:colOff>571500</xdr:colOff>
                    <xdr:row>0</xdr:row>
                    <xdr:rowOff>171450</xdr:rowOff>
                  </from>
                  <to>
                    <xdr:col>20</xdr:col>
                    <xdr:colOff>19050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6" name="Button 112">
              <controlPr defaultSize="0" print="0" autoFill="0" autoPict="0" macro="[0]!Ordrebarres">
                <anchor>
                  <from>
                    <xdr:col>15</xdr:col>
                    <xdr:colOff>352425</xdr:colOff>
                    <xdr:row>0</xdr:row>
                    <xdr:rowOff>171450</xdr:rowOff>
                  </from>
                  <to>
                    <xdr:col>16</xdr:col>
                    <xdr:colOff>390525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7" name="Button 114">
              <controlPr defaultSize="0" print="0" autoFill="0" autoPict="0" macro="[0]!feuillefédé">
                <anchor>
                  <from>
                    <xdr:col>20</xdr:col>
                    <xdr:colOff>285750</xdr:colOff>
                    <xdr:row>0</xdr:row>
                    <xdr:rowOff>180975</xdr:rowOff>
                  </from>
                  <to>
                    <xdr:col>21</xdr:col>
                    <xdr:colOff>352425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8" name="Button 119">
              <controlPr defaultSize="0" print="0" autoFill="0" autoPict="0" macro="[0]!Barreratée">
                <anchor>
                  <from>
                    <xdr:col>14</xdr:col>
                    <xdr:colOff>66675</xdr:colOff>
                    <xdr:row>0</xdr:row>
                    <xdr:rowOff>180975</xdr:rowOff>
                  </from>
                  <to>
                    <xdr:col>15</xdr:col>
                    <xdr:colOff>161925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9" name="Button 120">
              <controlPr locked="0" defaultSize="0" print="0" autoFill="0" autoPict="0" macro="[0]!ChangementDeBarre">
                <anchor moveWithCells="1" sizeWithCells="1">
                  <from>
                    <xdr:col>19</xdr:col>
                    <xdr:colOff>342900</xdr:colOff>
                    <xdr:row>0</xdr:row>
                    <xdr:rowOff>161925</xdr:rowOff>
                  </from>
                  <to>
                    <xdr:col>21</xdr:col>
                    <xdr:colOff>85725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J128"/>
  <sheetViews>
    <sheetView zoomScale="60" zoomScaleNormal="60" workbookViewId="0">
      <selection activeCell="B3" sqref="B3:E3"/>
    </sheetView>
  </sheetViews>
  <sheetFormatPr baseColWidth="10" defaultColWidth="11.42578125" defaultRowHeight="12.75" x14ac:dyDescent="0.2"/>
  <cols>
    <col min="1" max="1" width="16" style="31" customWidth="1"/>
    <col min="2" max="2" width="12.5703125" style="31" customWidth="1"/>
    <col min="3" max="3" width="14.85546875" style="31" customWidth="1"/>
    <col min="4" max="5" width="17.5703125" style="31" customWidth="1"/>
    <col min="6" max="6" width="18.5703125" style="31" customWidth="1"/>
    <col min="7" max="7" width="16.85546875" style="31" customWidth="1"/>
    <col min="8" max="8" width="19" style="31" customWidth="1"/>
    <col min="9" max="9" width="19.42578125" style="31" customWidth="1"/>
    <col min="10" max="10" width="19.5703125" style="31" customWidth="1"/>
    <col min="11" max="16384" width="11.42578125" style="31"/>
  </cols>
  <sheetData>
    <row r="1" spans="1:10" s="25" customFormat="1" ht="33" customHeight="1" x14ac:dyDescent="0.2">
      <c r="A1" s="33" t="s">
        <v>7</v>
      </c>
      <c r="B1" s="498" t="str">
        <f>FA!F9</f>
        <v>DEMOULIN</v>
      </c>
      <c r="C1" s="498"/>
      <c r="D1" s="498"/>
      <c r="E1" s="499"/>
      <c r="F1" s="23" t="s">
        <v>8</v>
      </c>
      <c r="G1" s="486" t="str">
        <f>FA!G9</f>
        <v>Alexandre</v>
      </c>
      <c r="H1" s="487"/>
      <c r="I1" s="24" t="s">
        <v>9</v>
      </c>
      <c r="J1" s="34">
        <f>FA!K9</f>
        <v>0</v>
      </c>
    </row>
    <row r="2" spans="1:10" s="25" customFormat="1" ht="33" customHeight="1" x14ac:dyDescent="0.2">
      <c r="A2" s="78" t="s">
        <v>54</v>
      </c>
      <c r="B2" s="80" t="str">
        <f>FA!$AA9</f>
        <v>FA</v>
      </c>
      <c r="C2" s="78" t="s">
        <v>10</v>
      </c>
      <c r="D2" s="80" t="str">
        <f>FA!$C9</f>
        <v>M</v>
      </c>
      <c r="E2" s="77" t="s">
        <v>11</v>
      </c>
      <c r="F2" s="81">
        <f>FA!$D9</f>
        <v>38553</v>
      </c>
      <c r="G2" s="76" t="s">
        <v>12</v>
      </c>
      <c r="H2" s="192" t="str">
        <f ca="1">FA!$E9</f>
        <v>JR</v>
      </c>
      <c r="I2" s="26" t="s">
        <v>13</v>
      </c>
      <c r="J2" s="27"/>
    </row>
    <row r="3" spans="1:10" s="25" customFormat="1" ht="33" customHeight="1" thickBot="1" x14ac:dyDescent="0.25">
      <c r="A3" s="79" t="s">
        <v>14</v>
      </c>
      <c r="B3" s="497" t="str">
        <f>FA!$B9</f>
        <v>L02 - LIGUE DE FORCE BOURGOGNE-FRANCHE-COMTÉ</v>
      </c>
      <c r="C3" s="497"/>
      <c r="D3" s="497"/>
      <c r="E3" s="497"/>
      <c r="F3" s="82" t="s">
        <v>15</v>
      </c>
      <c r="G3" s="488" t="str">
        <f>FA!$A9</f>
        <v>050087</v>
      </c>
      <c r="H3" s="489"/>
      <c r="I3" s="28"/>
      <c r="J3" s="29"/>
    </row>
    <row r="4" spans="1:10" s="25" customFormat="1" ht="33" customHeight="1" thickBot="1" x14ac:dyDescent="0.25">
      <c r="A4" s="90" t="s">
        <v>16</v>
      </c>
      <c r="B4" s="89"/>
      <c r="C4" s="91"/>
      <c r="D4" s="92" t="s">
        <v>17</v>
      </c>
      <c r="E4" s="92" t="s">
        <v>18</v>
      </c>
      <c r="F4" s="92" t="s">
        <v>19</v>
      </c>
      <c r="G4" s="92" t="s">
        <v>20</v>
      </c>
      <c r="H4" s="92" t="s">
        <v>21</v>
      </c>
      <c r="I4" s="92" t="s">
        <v>22</v>
      </c>
      <c r="J4" s="93" t="s">
        <v>23</v>
      </c>
    </row>
    <row r="5" spans="1:10" ht="33" customHeight="1" x14ac:dyDescent="0.2">
      <c r="A5" s="30" t="s">
        <v>38</v>
      </c>
      <c r="B5" s="493" t="s">
        <v>39</v>
      </c>
      <c r="C5" s="494"/>
      <c r="D5" s="87"/>
      <c r="E5" s="87"/>
      <c r="F5" s="87"/>
      <c r="G5" s="87"/>
      <c r="H5" s="87"/>
      <c r="I5" s="87"/>
      <c r="J5" s="88"/>
    </row>
    <row r="6" spans="1:10" ht="33" customHeight="1" x14ac:dyDescent="0.2">
      <c r="A6" s="32" t="s">
        <v>24</v>
      </c>
      <c r="B6" s="495" t="s">
        <v>40</v>
      </c>
      <c r="C6" s="496"/>
      <c r="D6" s="87"/>
      <c r="E6" s="87"/>
      <c r="F6" s="87"/>
      <c r="G6" s="87"/>
      <c r="H6" s="87"/>
      <c r="I6" s="87"/>
      <c r="J6" s="88"/>
    </row>
    <row r="7" spans="1:10" ht="33" customHeight="1" thickBot="1" x14ac:dyDescent="0.25">
      <c r="A7" s="490" t="s">
        <v>41</v>
      </c>
      <c r="B7" s="491"/>
      <c r="C7" s="492"/>
      <c r="D7" s="94"/>
      <c r="E7" s="94"/>
      <c r="F7" s="94"/>
      <c r="G7" s="94"/>
      <c r="H7" s="94"/>
      <c r="I7" s="94"/>
      <c r="J7" s="95"/>
    </row>
    <row r="8" spans="1:10" ht="22.5" customHeight="1" thickBot="1" x14ac:dyDescent="0.25"/>
    <row r="9" spans="1:10" s="25" customFormat="1" ht="33" customHeight="1" x14ac:dyDescent="0.2">
      <c r="A9" s="33" t="s">
        <v>7</v>
      </c>
      <c r="B9" s="498" t="str">
        <f>FA!F$10</f>
        <v>PASTEUR</v>
      </c>
      <c r="C9" s="498"/>
      <c r="D9" s="498"/>
      <c r="E9" s="499"/>
      <c r="F9" s="23" t="s">
        <v>8</v>
      </c>
      <c r="G9" s="486" t="str">
        <f>FA!G$10</f>
        <v>Eliott</v>
      </c>
      <c r="H9" s="487"/>
      <c r="I9" s="24" t="s">
        <v>9</v>
      </c>
      <c r="J9" s="34">
        <f>FA!K$10</f>
        <v>0</v>
      </c>
    </row>
    <row r="10" spans="1:10" s="25" customFormat="1" ht="33" customHeight="1" x14ac:dyDescent="0.2">
      <c r="A10" s="78" t="s">
        <v>54</v>
      </c>
      <c r="B10" s="80" t="str">
        <f>FA!$AA10</f>
        <v>FA</v>
      </c>
      <c r="C10" s="78" t="s">
        <v>10</v>
      </c>
      <c r="D10" s="80" t="str">
        <f>FA!$C10</f>
        <v>M</v>
      </c>
      <c r="E10" s="77" t="s">
        <v>11</v>
      </c>
      <c r="F10" s="81">
        <f>FA!$D10</f>
        <v>39164</v>
      </c>
      <c r="G10" s="76" t="s">
        <v>12</v>
      </c>
      <c r="H10" s="192" t="str">
        <f ca="1">FA!$E10</f>
        <v>SJR</v>
      </c>
      <c r="I10" s="26" t="s">
        <v>13</v>
      </c>
      <c r="J10" s="27"/>
    </row>
    <row r="11" spans="1:10" s="25" customFormat="1" ht="33" customHeight="1" thickBot="1" x14ac:dyDescent="0.25">
      <c r="A11" s="79" t="s">
        <v>14</v>
      </c>
      <c r="B11" s="497" t="str">
        <f>FA!B$10</f>
        <v>L02 - LIGUE DE FORCE BOURGOGNE-FRANCHE-COMTÉ</v>
      </c>
      <c r="C11" s="497"/>
      <c r="D11" s="497"/>
      <c r="E11" s="497"/>
      <c r="F11" s="82" t="s">
        <v>15</v>
      </c>
      <c r="G11" s="488" t="str">
        <f>FA!A$10</f>
        <v>059193</v>
      </c>
      <c r="H11" s="489"/>
      <c r="I11" s="28"/>
      <c r="J11" s="29"/>
    </row>
    <row r="12" spans="1:10" s="25" customFormat="1" ht="33" customHeight="1" thickBot="1" x14ac:dyDescent="0.25">
      <c r="A12" s="90" t="s">
        <v>16</v>
      </c>
      <c r="B12" s="89"/>
      <c r="C12" s="91"/>
      <c r="D12" s="92" t="s">
        <v>17</v>
      </c>
      <c r="E12" s="92" t="s">
        <v>18</v>
      </c>
      <c r="F12" s="92" t="s">
        <v>19</v>
      </c>
      <c r="G12" s="92" t="s">
        <v>20</v>
      </c>
      <c r="H12" s="92" t="s">
        <v>21</v>
      </c>
      <c r="I12" s="92" t="s">
        <v>22</v>
      </c>
      <c r="J12" s="93" t="s">
        <v>23</v>
      </c>
    </row>
    <row r="13" spans="1:10" ht="33" customHeight="1" x14ac:dyDescent="0.2">
      <c r="A13" s="30" t="s">
        <v>38</v>
      </c>
      <c r="B13" s="493" t="s">
        <v>39</v>
      </c>
      <c r="C13" s="494"/>
      <c r="D13" s="87"/>
      <c r="E13" s="87"/>
      <c r="F13" s="87"/>
      <c r="G13" s="87"/>
      <c r="H13" s="87"/>
      <c r="I13" s="87"/>
      <c r="J13" s="88"/>
    </row>
    <row r="14" spans="1:10" ht="33" customHeight="1" x14ac:dyDescent="0.2">
      <c r="A14" s="32" t="s">
        <v>24</v>
      </c>
      <c r="B14" s="495" t="s">
        <v>40</v>
      </c>
      <c r="C14" s="496"/>
      <c r="D14" s="87"/>
      <c r="E14" s="87"/>
      <c r="F14" s="87"/>
      <c r="G14" s="87"/>
      <c r="H14" s="87"/>
      <c r="I14" s="87"/>
      <c r="J14" s="88"/>
    </row>
    <row r="15" spans="1:10" ht="33" customHeight="1" thickBot="1" x14ac:dyDescent="0.25">
      <c r="A15" s="490" t="s">
        <v>41</v>
      </c>
      <c r="B15" s="491"/>
      <c r="C15" s="492"/>
      <c r="D15" s="94"/>
      <c r="E15" s="94"/>
      <c r="F15" s="94"/>
      <c r="G15" s="94"/>
      <c r="H15" s="94"/>
      <c r="I15" s="94"/>
      <c r="J15" s="95"/>
    </row>
    <row r="16" spans="1:10" ht="22.5" customHeight="1" thickBot="1" x14ac:dyDescent="0.25"/>
    <row r="17" spans="1:10" s="25" customFormat="1" ht="33" customHeight="1" x14ac:dyDescent="0.2">
      <c r="A17" s="33" t="s">
        <v>7</v>
      </c>
      <c r="B17" s="498" t="str">
        <f>FA!F$11</f>
        <v>THIEMARD SALOMON</v>
      </c>
      <c r="C17" s="498"/>
      <c r="D17" s="498"/>
      <c r="E17" s="499"/>
      <c r="F17" s="23" t="s">
        <v>8</v>
      </c>
      <c r="G17" s="486" t="str">
        <f>FA!G$11</f>
        <v>Kylian</v>
      </c>
      <c r="H17" s="487"/>
      <c r="I17" s="24" t="s">
        <v>9</v>
      </c>
      <c r="J17" s="34">
        <f>FA!K$11</f>
        <v>0</v>
      </c>
    </row>
    <row r="18" spans="1:10" s="25" customFormat="1" ht="33" customHeight="1" x14ac:dyDescent="0.2">
      <c r="A18" s="78" t="s">
        <v>54</v>
      </c>
      <c r="B18" s="80" t="str">
        <f>FA!$AA11</f>
        <v>FA</v>
      </c>
      <c r="C18" s="78" t="s">
        <v>10</v>
      </c>
      <c r="D18" s="80" t="str">
        <f>FA!$C11</f>
        <v>M</v>
      </c>
      <c r="E18" s="77" t="s">
        <v>11</v>
      </c>
      <c r="F18" s="81">
        <f>FA!$D11</f>
        <v>39415</v>
      </c>
      <c r="G18" s="76" t="s">
        <v>12</v>
      </c>
      <c r="H18" s="192" t="str">
        <f ca="1">FA!$E11</f>
        <v>SJR</v>
      </c>
      <c r="I18" s="26" t="s">
        <v>13</v>
      </c>
      <c r="J18" s="27"/>
    </row>
    <row r="19" spans="1:10" s="25" customFormat="1" ht="33" customHeight="1" thickBot="1" x14ac:dyDescent="0.25">
      <c r="A19" s="79" t="s">
        <v>14</v>
      </c>
      <c r="B19" s="497" t="str">
        <f>FA!B$11</f>
        <v>L02 - LIGUE DE FORCE BOURGOGNE-FRANCHE-COMTÉ</v>
      </c>
      <c r="C19" s="497"/>
      <c r="D19" s="497"/>
      <c r="E19" s="497"/>
      <c r="F19" s="82" t="s">
        <v>15</v>
      </c>
      <c r="G19" s="488">
        <f>FA!A$11</f>
        <v>59283</v>
      </c>
      <c r="H19" s="489"/>
      <c r="I19" s="28"/>
      <c r="J19" s="29"/>
    </row>
    <row r="20" spans="1:10" s="25" customFormat="1" ht="33" customHeight="1" thickBot="1" x14ac:dyDescent="0.25">
      <c r="A20" s="90" t="s">
        <v>16</v>
      </c>
      <c r="B20" s="89"/>
      <c r="C20" s="91"/>
      <c r="D20" s="92" t="s">
        <v>17</v>
      </c>
      <c r="E20" s="92" t="s">
        <v>18</v>
      </c>
      <c r="F20" s="92" t="s">
        <v>19</v>
      </c>
      <c r="G20" s="92" t="s">
        <v>20</v>
      </c>
      <c r="H20" s="92" t="s">
        <v>21</v>
      </c>
      <c r="I20" s="92" t="s">
        <v>22</v>
      </c>
      <c r="J20" s="93" t="s">
        <v>23</v>
      </c>
    </row>
    <row r="21" spans="1:10" ht="33" customHeight="1" x14ac:dyDescent="0.2">
      <c r="A21" s="30" t="s">
        <v>38</v>
      </c>
      <c r="B21" s="493" t="s">
        <v>39</v>
      </c>
      <c r="C21" s="494"/>
      <c r="D21" s="87"/>
      <c r="E21" s="87"/>
      <c r="F21" s="87"/>
      <c r="G21" s="87"/>
      <c r="H21" s="87"/>
      <c r="I21" s="87"/>
      <c r="J21" s="88"/>
    </row>
    <row r="22" spans="1:10" ht="33" customHeight="1" x14ac:dyDescent="0.2">
      <c r="A22" s="32" t="s">
        <v>24</v>
      </c>
      <c r="B22" s="495" t="s">
        <v>40</v>
      </c>
      <c r="C22" s="496"/>
      <c r="D22" s="87"/>
      <c r="E22" s="87"/>
      <c r="F22" s="87"/>
      <c r="G22" s="87"/>
      <c r="H22" s="87"/>
      <c r="I22" s="87"/>
      <c r="J22" s="88"/>
    </row>
    <row r="23" spans="1:10" ht="33" customHeight="1" thickBot="1" x14ac:dyDescent="0.25">
      <c r="A23" s="490" t="s">
        <v>41</v>
      </c>
      <c r="B23" s="491"/>
      <c r="C23" s="492"/>
      <c r="D23" s="94"/>
      <c r="E23" s="94"/>
      <c r="F23" s="94"/>
      <c r="G23" s="94"/>
      <c r="H23" s="94"/>
      <c r="I23" s="94"/>
      <c r="J23" s="95"/>
    </row>
    <row r="24" spans="1:10" ht="22.5" customHeight="1" thickBot="1" x14ac:dyDescent="0.25"/>
    <row r="25" spans="1:10" s="25" customFormat="1" ht="33" customHeight="1" x14ac:dyDescent="0.2">
      <c r="A25" s="33" t="s">
        <v>7</v>
      </c>
      <c r="B25" s="498" t="str">
        <f>FA!F$12</f>
        <v>RICHARD</v>
      </c>
      <c r="C25" s="498"/>
      <c r="D25" s="498"/>
      <c r="E25" s="499"/>
      <c r="F25" s="23" t="s">
        <v>8</v>
      </c>
      <c r="G25" s="486" t="str">
        <f>FA!G$12</f>
        <v>Antoine</v>
      </c>
      <c r="H25" s="487"/>
      <c r="I25" s="24" t="s">
        <v>9</v>
      </c>
      <c r="J25" s="34">
        <f>FA!K$12</f>
        <v>0</v>
      </c>
    </row>
    <row r="26" spans="1:10" s="25" customFormat="1" ht="33" customHeight="1" x14ac:dyDescent="0.2">
      <c r="A26" s="78" t="s">
        <v>54</v>
      </c>
      <c r="B26" s="80" t="str">
        <f>FA!$AA12</f>
        <v>FA</v>
      </c>
      <c r="C26" s="78" t="s">
        <v>10</v>
      </c>
      <c r="D26" s="80" t="str">
        <f>FA!$C12</f>
        <v>M</v>
      </c>
      <c r="E26" s="77" t="s">
        <v>11</v>
      </c>
      <c r="F26" s="81">
        <f>FA!$D12</f>
        <v>39419</v>
      </c>
      <c r="G26" s="76" t="s">
        <v>12</v>
      </c>
      <c r="H26" s="192" t="str">
        <f ca="1">FA!$E12</f>
        <v>SJR</v>
      </c>
      <c r="I26" s="26" t="s">
        <v>13</v>
      </c>
      <c r="J26" s="27"/>
    </row>
    <row r="27" spans="1:10" s="25" customFormat="1" ht="33" customHeight="1" thickBot="1" x14ac:dyDescent="0.25">
      <c r="A27" s="79" t="s">
        <v>14</v>
      </c>
      <c r="B27" s="497" t="str">
        <f>FA!B$12</f>
        <v>L02 - LIGUE DE FORCE BOURGOGNE-FRANCHE-COMTÉ</v>
      </c>
      <c r="C27" s="497"/>
      <c r="D27" s="497"/>
      <c r="E27" s="497"/>
      <c r="F27" s="82" t="s">
        <v>15</v>
      </c>
      <c r="G27" s="488" t="str">
        <f>FA!A$12</f>
        <v>059647</v>
      </c>
      <c r="H27" s="489"/>
      <c r="I27" s="28"/>
      <c r="J27" s="29"/>
    </row>
    <row r="28" spans="1:10" s="25" customFormat="1" ht="33" customHeight="1" thickBot="1" x14ac:dyDescent="0.25">
      <c r="A28" s="90" t="s">
        <v>16</v>
      </c>
      <c r="B28" s="89"/>
      <c r="C28" s="91"/>
      <c r="D28" s="92" t="s">
        <v>17</v>
      </c>
      <c r="E28" s="92" t="s">
        <v>18</v>
      </c>
      <c r="F28" s="92" t="s">
        <v>19</v>
      </c>
      <c r="G28" s="92" t="s">
        <v>20</v>
      </c>
      <c r="H28" s="92" t="s">
        <v>21</v>
      </c>
      <c r="I28" s="92" t="s">
        <v>22</v>
      </c>
      <c r="J28" s="93" t="s">
        <v>23</v>
      </c>
    </row>
    <row r="29" spans="1:10" ht="33" customHeight="1" x14ac:dyDescent="0.2">
      <c r="A29" s="30" t="s">
        <v>38</v>
      </c>
      <c r="B29" s="493" t="s">
        <v>39</v>
      </c>
      <c r="C29" s="494"/>
      <c r="D29" s="87"/>
      <c r="E29" s="87"/>
      <c r="F29" s="87"/>
      <c r="G29" s="87"/>
      <c r="H29" s="87"/>
      <c r="I29" s="87"/>
      <c r="J29" s="88"/>
    </row>
    <row r="30" spans="1:10" ht="33" customHeight="1" x14ac:dyDescent="0.2">
      <c r="A30" s="32" t="s">
        <v>24</v>
      </c>
      <c r="B30" s="495" t="s">
        <v>40</v>
      </c>
      <c r="C30" s="496"/>
      <c r="D30" s="87"/>
      <c r="E30" s="87"/>
      <c r="F30" s="87"/>
      <c r="G30" s="87"/>
      <c r="H30" s="87"/>
      <c r="I30" s="87"/>
      <c r="J30" s="88"/>
    </row>
    <row r="31" spans="1:10" ht="33" customHeight="1" thickBot="1" x14ac:dyDescent="0.25">
      <c r="A31" s="490" t="s">
        <v>41</v>
      </c>
      <c r="B31" s="491"/>
      <c r="C31" s="492"/>
      <c r="D31" s="94"/>
      <c r="E31" s="94"/>
      <c r="F31" s="94"/>
      <c r="G31" s="94"/>
      <c r="H31" s="94"/>
      <c r="I31" s="94"/>
      <c r="J31" s="95"/>
    </row>
    <row r="32" spans="1:10" ht="22.5" customHeight="1" thickBot="1" x14ac:dyDescent="0.25"/>
    <row r="33" spans="1:10" s="25" customFormat="1" ht="33" customHeight="1" x14ac:dyDescent="0.2">
      <c r="A33" s="33" t="s">
        <v>7</v>
      </c>
      <c r="B33" s="498" t="str">
        <f>FA!F$13</f>
        <v>DAMONGEOT</v>
      </c>
      <c r="C33" s="498"/>
      <c r="D33" s="498"/>
      <c r="E33" s="499"/>
      <c r="F33" s="23" t="s">
        <v>8</v>
      </c>
      <c r="G33" s="486" t="str">
        <f>FA!G$13</f>
        <v>Auriane</v>
      </c>
      <c r="H33" s="487"/>
      <c r="I33" s="24" t="s">
        <v>9</v>
      </c>
      <c r="J33" s="34">
        <f>FA!K$13</f>
        <v>0</v>
      </c>
    </row>
    <row r="34" spans="1:10" s="25" customFormat="1" ht="33" customHeight="1" x14ac:dyDescent="0.2">
      <c r="A34" s="78" t="s">
        <v>54</v>
      </c>
      <c r="B34" s="80" t="str">
        <f>FA!$AA13</f>
        <v>FA</v>
      </c>
      <c r="C34" s="78" t="s">
        <v>10</v>
      </c>
      <c r="D34" s="80" t="str">
        <f>FA!$C13</f>
        <v>F</v>
      </c>
      <c r="E34" s="77" t="s">
        <v>11</v>
      </c>
      <c r="F34" s="81">
        <f>FA!$D13</f>
        <v>38026</v>
      </c>
      <c r="G34" s="76" t="s">
        <v>12</v>
      </c>
      <c r="H34" s="192" t="str">
        <f ca="1">FA!E$13</f>
        <v>JR</v>
      </c>
      <c r="I34" s="26" t="s">
        <v>13</v>
      </c>
      <c r="J34" s="27"/>
    </row>
    <row r="35" spans="1:10" s="25" customFormat="1" ht="33" customHeight="1" thickBot="1" x14ac:dyDescent="0.25">
      <c r="A35" s="79" t="s">
        <v>14</v>
      </c>
      <c r="B35" s="497" t="str">
        <f>FA!B$13</f>
        <v>0587 - TEMPLE GYM</v>
      </c>
      <c r="C35" s="497"/>
      <c r="D35" s="497"/>
      <c r="E35" s="497"/>
      <c r="F35" s="82" t="s">
        <v>15</v>
      </c>
      <c r="G35" s="488" t="str">
        <f>FA!A$13</f>
        <v>054442</v>
      </c>
      <c r="H35" s="489"/>
      <c r="I35" s="28"/>
      <c r="J35" s="29"/>
    </row>
    <row r="36" spans="1:10" s="25" customFormat="1" ht="33" customHeight="1" thickBot="1" x14ac:dyDescent="0.25">
      <c r="A36" s="90" t="s">
        <v>16</v>
      </c>
      <c r="B36" s="89"/>
      <c r="C36" s="91"/>
      <c r="D36" s="92" t="s">
        <v>17</v>
      </c>
      <c r="E36" s="92" t="s">
        <v>18</v>
      </c>
      <c r="F36" s="92" t="s">
        <v>19</v>
      </c>
      <c r="G36" s="92" t="s">
        <v>20</v>
      </c>
      <c r="H36" s="92" t="s">
        <v>21</v>
      </c>
      <c r="I36" s="92" t="s">
        <v>22</v>
      </c>
      <c r="J36" s="93" t="s">
        <v>23</v>
      </c>
    </row>
    <row r="37" spans="1:10" ht="33" customHeight="1" x14ac:dyDescent="0.2">
      <c r="A37" s="30" t="s">
        <v>38</v>
      </c>
      <c r="B37" s="493" t="s">
        <v>39</v>
      </c>
      <c r="C37" s="494"/>
      <c r="D37" s="87"/>
      <c r="E37" s="87"/>
      <c r="F37" s="87"/>
      <c r="G37" s="87"/>
      <c r="H37" s="87"/>
      <c r="I37" s="87"/>
      <c r="J37" s="88"/>
    </row>
    <row r="38" spans="1:10" ht="33" customHeight="1" x14ac:dyDescent="0.2">
      <c r="A38" s="32" t="s">
        <v>24</v>
      </c>
      <c r="B38" s="495" t="s">
        <v>40</v>
      </c>
      <c r="C38" s="496"/>
      <c r="D38" s="87"/>
      <c r="E38" s="87"/>
      <c r="F38" s="87"/>
      <c r="G38" s="87"/>
      <c r="H38" s="87"/>
      <c r="I38" s="87"/>
      <c r="J38" s="88"/>
    </row>
    <row r="39" spans="1:10" ht="33" customHeight="1" thickBot="1" x14ac:dyDescent="0.25">
      <c r="A39" s="490" t="s">
        <v>41</v>
      </c>
      <c r="B39" s="491"/>
      <c r="C39" s="492"/>
      <c r="D39" s="94"/>
      <c r="E39" s="94"/>
      <c r="F39" s="94"/>
      <c r="G39" s="94"/>
      <c r="H39" s="94"/>
      <c r="I39" s="94"/>
      <c r="J39" s="95"/>
    </row>
    <row r="40" spans="1:10" ht="22.5" customHeight="1" thickBot="1" x14ac:dyDescent="0.25"/>
    <row r="41" spans="1:10" s="25" customFormat="1" ht="33" customHeight="1" x14ac:dyDescent="0.2">
      <c r="A41" s="33" t="s">
        <v>7</v>
      </c>
      <c r="B41" s="498" t="str">
        <f>FA!F$14</f>
        <v>GEOFFROY</v>
      </c>
      <c r="C41" s="498"/>
      <c r="D41" s="498"/>
      <c r="E41" s="499"/>
      <c r="F41" s="23" t="s">
        <v>8</v>
      </c>
      <c r="G41" s="486" t="str">
        <f>FA!G$14</f>
        <v>Ethan</v>
      </c>
      <c r="H41" s="487"/>
      <c r="I41" s="24" t="s">
        <v>9</v>
      </c>
      <c r="J41" s="34">
        <f>FA!K$14</f>
        <v>0</v>
      </c>
    </row>
    <row r="42" spans="1:10" s="25" customFormat="1" ht="33" customHeight="1" x14ac:dyDescent="0.2">
      <c r="A42" s="78" t="s">
        <v>54</v>
      </c>
      <c r="B42" s="80" t="str">
        <f>FA!$AA14</f>
        <v>FA</v>
      </c>
      <c r="C42" s="78" t="s">
        <v>10</v>
      </c>
      <c r="D42" s="80" t="str">
        <f>FA!$C14</f>
        <v>M</v>
      </c>
      <c r="E42" s="77" t="s">
        <v>11</v>
      </c>
      <c r="F42" s="81">
        <f>FA!$D14</f>
        <v>39117</v>
      </c>
      <c r="G42" s="76" t="s">
        <v>12</v>
      </c>
      <c r="H42" s="192" t="str">
        <f ca="1">FA!E$14</f>
        <v>SJR</v>
      </c>
      <c r="I42" s="26" t="s">
        <v>13</v>
      </c>
      <c r="J42" s="27"/>
    </row>
    <row r="43" spans="1:10" s="25" customFormat="1" ht="33" customHeight="1" thickBot="1" x14ac:dyDescent="0.25">
      <c r="A43" s="79" t="s">
        <v>14</v>
      </c>
      <c r="B43" s="497" t="str">
        <f>FA!B$14</f>
        <v>0420 - STADE AUXERROIS</v>
      </c>
      <c r="C43" s="497"/>
      <c r="D43" s="497"/>
      <c r="E43" s="497"/>
      <c r="F43" s="82" t="s">
        <v>15</v>
      </c>
      <c r="G43" s="488" t="str">
        <f>FA!A$14</f>
        <v>060036</v>
      </c>
      <c r="H43" s="489"/>
      <c r="I43" s="28"/>
      <c r="J43" s="29"/>
    </row>
    <row r="44" spans="1:10" s="25" customFormat="1" ht="33" customHeight="1" thickBot="1" x14ac:dyDescent="0.25">
      <c r="A44" s="90" t="s">
        <v>16</v>
      </c>
      <c r="B44" s="89"/>
      <c r="C44" s="91"/>
      <c r="D44" s="92" t="s">
        <v>17</v>
      </c>
      <c r="E44" s="92" t="s">
        <v>18</v>
      </c>
      <c r="F44" s="92" t="s">
        <v>19</v>
      </c>
      <c r="G44" s="92" t="s">
        <v>20</v>
      </c>
      <c r="H44" s="92" t="s">
        <v>21</v>
      </c>
      <c r="I44" s="92" t="s">
        <v>22</v>
      </c>
      <c r="J44" s="93" t="s">
        <v>23</v>
      </c>
    </row>
    <row r="45" spans="1:10" ht="33" customHeight="1" x14ac:dyDescent="0.2">
      <c r="A45" s="30" t="s">
        <v>38</v>
      </c>
      <c r="B45" s="493" t="s">
        <v>39</v>
      </c>
      <c r="C45" s="494"/>
      <c r="D45" s="87"/>
      <c r="E45" s="87"/>
      <c r="F45" s="87"/>
      <c r="G45" s="87"/>
      <c r="H45" s="87"/>
      <c r="I45" s="87"/>
      <c r="J45" s="88"/>
    </row>
    <row r="46" spans="1:10" ht="33" customHeight="1" x14ac:dyDescent="0.2">
      <c r="A46" s="32" t="s">
        <v>24</v>
      </c>
      <c r="B46" s="495" t="s">
        <v>40</v>
      </c>
      <c r="C46" s="496"/>
      <c r="D46" s="87"/>
      <c r="E46" s="87"/>
      <c r="F46" s="87"/>
      <c r="G46" s="87"/>
      <c r="H46" s="87"/>
      <c r="I46" s="87"/>
      <c r="J46" s="88"/>
    </row>
    <row r="47" spans="1:10" ht="33" customHeight="1" thickBot="1" x14ac:dyDescent="0.25">
      <c r="A47" s="490" t="s">
        <v>41</v>
      </c>
      <c r="B47" s="491"/>
      <c r="C47" s="492"/>
      <c r="D47" s="94"/>
      <c r="E47" s="94"/>
      <c r="F47" s="94"/>
      <c r="G47" s="94"/>
      <c r="H47" s="94"/>
      <c r="I47" s="94"/>
      <c r="J47" s="95"/>
    </row>
    <row r="48" spans="1:10" ht="22.5" customHeight="1" thickBot="1" x14ac:dyDescent="0.25"/>
    <row r="49" spans="1:10" s="25" customFormat="1" ht="33" customHeight="1" x14ac:dyDescent="0.2">
      <c r="A49" s="33" t="s">
        <v>7</v>
      </c>
      <c r="B49" s="498" t="str">
        <f>FA!F$15</f>
        <v>PICHOT</v>
      </c>
      <c r="C49" s="498"/>
      <c r="D49" s="498"/>
      <c r="E49" s="499"/>
      <c r="F49" s="23" t="s">
        <v>8</v>
      </c>
      <c r="G49" s="486" t="str">
        <f>FA!G$15</f>
        <v>Solenne</v>
      </c>
      <c r="H49" s="487"/>
      <c r="I49" s="24" t="s">
        <v>9</v>
      </c>
      <c r="J49" s="34">
        <f>FA!K$15</f>
        <v>0</v>
      </c>
    </row>
    <row r="50" spans="1:10" s="25" customFormat="1" ht="33" customHeight="1" x14ac:dyDescent="0.2">
      <c r="A50" s="78" t="s">
        <v>54</v>
      </c>
      <c r="B50" s="80" t="str">
        <f>FA!$AA15</f>
        <v>FA</v>
      </c>
      <c r="C50" s="78" t="s">
        <v>10</v>
      </c>
      <c r="D50" s="80" t="str">
        <f>FA!$C15</f>
        <v>F</v>
      </c>
      <c r="E50" s="77" t="s">
        <v>11</v>
      </c>
      <c r="F50" s="81">
        <f>FA!$D15</f>
        <v>37519</v>
      </c>
      <c r="G50" s="76" t="s">
        <v>12</v>
      </c>
      <c r="H50" s="192" t="str">
        <f ca="1">FA!E$15</f>
        <v>JR</v>
      </c>
      <c r="I50" s="26" t="s">
        <v>13</v>
      </c>
      <c r="J50" s="27"/>
    </row>
    <row r="51" spans="1:10" s="25" customFormat="1" ht="33" customHeight="1" thickBot="1" x14ac:dyDescent="0.25">
      <c r="A51" s="79" t="s">
        <v>14</v>
      </c>
      <c r="B51" s="497" t="str">
        <f>FA!B$15</f>
        <v>L02 - LIGUE DE FORCE BOURGOGNE-FRANCHE-COMTÉ</v>
      </c>
      <c r="C51" s="497"/>
      <c r="D51" s="497"/>
      <c r="E51" s="497"/>
      <c r="F51" s="82" t="s">
        <v>15</v>
      </c>
      <c r="G51" s="488" t="str">
        <f>FA!A$15</f>
        <v>050085</v>
      </c>
      <c r="H51" s="489"/>
      <c r="I51" s="28"/>
      <c r="J51" s="29"/>
    </row>
    <row r="52" spans="1:10" s="25" customFormat="1" ht="33" customHeight="1" thickBot="1" x14ac:dyDescent="0.25">
      <c r="A52" s="90" t="s">
        <v>16</v>
      </c>
      <c r="B52" s="89"/>
      <c r="C52" s="91"/>
      <c r="D52" s="92" t="s">
        <v>17</v>
      </c>
      <c r="E52" s="92" t="s">
        <v>18</v>
      </c>
      <c r="F52" s="92" t="s">
        <v>19</v>
      </c>
      <c r="G52" s="92" t="s">
        <v>20</v>
      </c>
      <c r="H52" s="92" t="s">
        <v>21</v>
      </c>
      <c r="I52" s="92" t="s">
        <v>22</v>
      </c>
      <c r="J52" s="93" t="s">
        <v>23</v>
      </c>
    </row>
    <row r="53" spans="1:10" ht="33" customHeight="1" x14ac:dyDescent="0.2">
      <c r="A53" s="30" t="s">
        <v>38</v>
      </c>
      <c r="B53" s="493" t="s">
        <v>39</v>
      </c>
      <c r="C53" s="494"/>
      <c r="D53" s="87"/>
      <c r="E53" s="87"/>
      <c r="F53" s="87"/>
      <c r="G53" s="87"/>
      <c r="H53" s="87"/>
      <c r="I53" s="87"/>
      <c r="J53" s="88"/>
    </row>
    <row r="54" spans="1:10" ht="33" customHeight="1" x14ac:dyDescent="0.2">
      <c r="A54" s="32" t="s">
        <v>24</v>
      </c>
      <c r="B54" s="495" t="s">
        <v>40</v>
      </c>
      <c r="C54" s="496"/>
      <c r="D54" s="87"/>
      <c r="E54" s="87"/>
      <c r="F54" s="87"/>
      <c r="G54" s="87"/>
      <c r="H54" s="87"/>
      <c r="I54" s="87"/>
      <c r="J54" s="88"/>
    </row>
    <row r="55" spans="1:10" ht="33" customHeight="1" thickBot="1" x14ac:dyDescent="0.25">
      <c r="A55" s="490" t="s">
        <v>41</v>
      </c>
      <c r="B55" s="491"/>
      <c r="C55" s="492"/>
      <c r="D55" s="94"/>
      <c r="E55" s="94"/>
      <c r="F55" s="94"/>
      <c r="G55" s="94"/>
      <c r="H55" s="94"/>
      <c r="I55" s="94"/>
      <c r="J55" s="95"/>
    </row>
    <row r="56" spans="1:10" ht="22.5" customHeight="1" thickBot="1" x14ac:dyDescent="0.25"/>
    <row r="57" spans="1:10" s="25" customFormat="1" ht="33" customHeight="1" x14ac:dyDescent="0.2">
      <c r="A57" s="33" t="s">
        <v>7</v>
      </c>
      <c r="B57" s="498" t="str">
        <f>FA!F$16</f>
        <v>SANCHEZ</v>
      </c>
      <c r="C57" s="498"/>
      <c r="D57" s="498"/>
      <c r="E57" s="499"/>
      <c r="F57" s="23" t="s">
        <v>8</v>
      </c>
      <c r="G57" s="486" t="str">
        <f>FA!G$16</f>
        <v>Chloé</v>
      </c>
      <c r="H57" s="487"/>
      <c r="I57" s="24" t="s">
        <v>9</v>
      </c>
      <c r="J57" s="34">
        <f>FA!K$16</f>
        <v>0</v>
      </c>
    </row>
    <row r="58" spans="1:10" s="25" customFormat="1" ht="33" customHeight="1" x14ac:dyDescent="0.2">
      <c r="A58" s="78" t="s">
        <v>54</v>
      </c>
      <c r="B58" s="80" t="str">
        <f>FA!$AA16</f>
        <v>FA</v>
      </c>
      <c r="C58" s="78" t="s">
        <v>10</v>
      </c>
      <c r="D58" s="80" t="str">
        <f>FA!$C16</f>
        <v>F</v>
      </c>
      <c r="E58" s="77" t="s">
        <v>11</v>
      </c>
      <c r="F58" s="81">
        <f>FA!$D16</f>
        <v>37986</v>
      </c>
      <c r="G58" s="76" t="s">
        <v>12</v>
      </c>
      <c r="H58" s="192" t="str">
        <f ca="1">FA!E$16</f>
        <v>JR</v>
      </c>
      <c r="I58" s="26" t="s">
        <v>13</v>
      </c>
      <c r="J58" s="27"/>
    </row>
    <row r="59" spans="1:10" s="25" customFormat="1" ht="33" customHeight="1" thickBot="1" x14ac:dyDescent="0.25">
      <c r="A59" s="79" t="s">
        <v>14</v>
      </c>
      <c r="B59" s="497" t="str">
        <f>FA!B$16</f>
        <v>0420 - STADE AUXERROIS</v>
      </c>
      <c r="C59" s="497"/>
      <c r="D59" s="497"/>
      <c r="E59" s="497"/>
      <c r="F59" s="82" t="s">
        <v>15</v>
      </c>
      <c r="G59" s="488" t="str">
        <f>FA!A$16</f>
        <v>058529</v>
      </c>
      <c r="H59" s="489"/>
      <c r="I59" s="28"/>
      <c r="J59" s="29"/>
    </row>
    <row r="60" spans="1:10" s="25" customFormat="1" ht="33" customHeight="1" thickBot="1" x14ac:dyDescent="0.25">
      <c r="A60" s="90" t="s">
        <v>16</v>
      </c>
      <c r="B60" s="89"/>
      <c r="C60" s="91"/>
      <c r="D60" s="92" t="s">
        <v>17</v>
      </c>
      <c r="E60" s="92" t="s">
        <v>18</v>
      </c>
      <c r="F60" s="92" t="s">
        <v>19</v>
      </c>
      <c r="G60" s="92" t="s">
        <v>20</v>
      </c>
      <c r="H60" s="92" t="s">
        <v>21</v>
      </c>
      <c r="I60" s="92" t="s">
        <v>22</v>
      </c>
      <c r="J60" s="93" t="s">
        <v>23</v>
      </c>
    </row>
    <row r="61" spans="1:10" ht="33" customHeight="1" x14ac:dyDescent="0.2">
      <c r="A61" s="30" t="s">
        <v>38</v>
      </c>
      <c r="B61" s="493" t="s">
        <v>39</v>
      </c>
      <c r="C61" s="494"/>
      <c r="D61" s="87"/>
      <c r="E61" s="87"/>
      <c r="F61" s="87"/>
      <c r="G61" s="87"/>
      <c r="H61" s="87"/>
      <c r="I61" s="87"/>
      <c r="J61" s="88"/>
    </row>
    <row r="62" spans="1:10" ht="33" customHeight="1" x14ac:dyDescent="0.2">
      <c r="A62" s="32" t="s">
        <v>24</v>
      </c>
      <c r="B62" s="495" t="s">
        <v>40</v>
      </c>
      <c r="C62" s="496"/>
      <c r="D62" s="87"/>
      <c r="E62" s="87"/>
      <c r="F62" s="87"/>
      <c r="G62" s="87"/>
      <c r="H62" s="87"/>
      <c r="I62" s="87"/>
      <c r="J62" s="88"/>
    </row>
    <row r="63" spans="1:10" ht="33" customHeight="1" thickBot="1" x14ac:dyDescent="0.25">
      <c r="A63" s="490" t="s">
        <v>41</v>
      </c>
      <c r="B63" s="491"/>
      <c r="C63" s="492"/>
      <c r="D63" s="94"/>
      <c r="E63" s="94"/>
      <c r="F63" s="94"/>
      <c r="G63" s="94"/>
      <c r="H63" s="94"/>
      <c r="I63" s="94"/>
      <c r="J63" s="95"/>
    </row>
    <row r="64" spans="1:10" ht="22.5" customHeight="1" thickBot="1" x14ac:dyDescent="0.25"/>
    <row r="65" spans="1:10" s="25" customFormat="1" ht="33" customHeight="1" x14ac:dyDescent="0.2">
      <c r="A65" s="33" t="s">
        <v>7</v>
      </c>
      <c r="B65" s="498" t="str">
        <f>FA!F$17</f>
        <v>DEMORD</v>
      </c>
      <c r="C65" s="498"/>
      <c r="D65" s="498"/>
      <c r="E65" s="499"/>
      <c r="F65" s="23" t="s">
        <v>8</v>
      </c>
      <c r="G65" s="486" t="str">
        <f>FA!G$17</f>
        <v>Laurene</v>
      </c>
      <c r="H65" s="487"/>
      <c r="I65" s="24" t="s">
        <v>9</v>
      </c>
      <c r="J65" s="34">
        <f>FA!K$17</f>
        <v>0</v>
      </c>
    </row>
    <row r="66" spans="1:10" s="25" customFormat="1" ht="33" customHeight="1" x14ac:dyDescent="0.2">
      <c r="A66" s="78" t="s">
        <v>54</v>
      </c>
      <c r="B66" s="80" t="str">
        <f>FA!$AA17</f>
        <v>FA</v>
      </c>
      <c r="C66" s="78" t="s">
        <v>10</v>
      </c>
      <c r="D66" s="80" t="str">
        <f>FA!$C17</f>
        <v>F</v>
      </c>
      <c r="E66" s="77" t="s">
        <v>11</v>
      </c>
      <c r="F66" s="81">
        <f>FA!$D17</f>
        <v>37969</v>
      </c>
      <c r="G66" s="76" t="s">
        <v>12</v>
      </c>
      <c r="H66" s="192" t="str">
        <f ca="1">FA!$E17</f>
        <v>JR</v>
      </c>
      <c r="I66" s="26" t="s">
        <v>13</v>
      </c>
      <c r="J66" s="27"/>
    </row>
    <row r="67" spans="1:10" s="25" customFormat="1" ht="33" customHeight="1" thickBot="1" x14ac:dyDescent="0.25">
      <c r="A67" s="79" t="s">
        <v>14</v>
      </c>
      <c r="B67" s="497" t="str">
        <f>FA!B$17</f>
        <v>0587 - TEMPLE GYM</v>
      </c>
      <c r="C67" s="497"/>
      <c r="D67" s="497"/>
      <c r="E67" s="497"/>
      <c r="F67" s="82" t="s">
        <v>15</v>
      </c>
      <c r="G67" s="488" t="str">
        <f>FA!A$17</f>
        <v>057644</v>
      </c>
      <c r="H67" s="489"/>
      <c r="I67" s="28"/>
      <c r="J67" s="29"/>
    </row>
    <row r="68" spans="1:10" s="25" customFormat="1" ht="33" customHeight="1" thickBot="1" x14ac:dyDescent="0.25">
      <c r="A68" s="90" t="s">
        <v>16</v>
      </c>
      <c r="B68" s="89"/>
      <c r="C68" s="91"/>
      <c r="D68" s="92" t="s">
        <v>17</v>
      </c>
      <c r="E68" s="92" t="s">
        <v>18</v>
      </c>
      <c r="F68" s="92" t="s">
        <v>19</v>
      </c>
      <c r="G68" s="92" t="s">
        <v>20</v>
      </c>
      <c r="H68" s="92" t="s">
        <v>21</v>
      </c>
      <c r="I68" s="92" t="s">
        <v>22</v>
      </c>
      <c r="J68" s="93" t="s">
        <v>23</v>
      </c>
    </row>
    <row r="69" spans="1:10" ht="33" customHeight="1" x14ac:dyDescent="0.2">
      <c r="A69" s="30" t="s">
        <v>38</v>
      </c>
      <c r="B69" s="493" t="s">
        <v>39</v>
      </c>
      <c r="C69" s="494"/>
      <c r="D69" s="87"/>
      <c r="E69" s="87"/>
      <c r="F69" s="87"/>
      <c r="G69" s="87"/>
      <c r="H69" s="87"/>
      <c r="I69" s="87"/>
      <c r="J69" s="88"/>
    </row>
    <row r="70" spans="1:10" ht="33" customHeight="1" x14ac:dyDescent="0.2">
      <c r="A70" s="32" t="s">
        <v>24</v>
      </c>
      <c r="B70" s="495" t="s">
        <v>40</v>
      </c>
      <c r="C70" s="496"/>
      <c r="D70" s="87"/>
      <c r="E70" s="87"/>
      <c r="F70" s="87"/>
      <c r="G70" s="87"/>
      <c r="H70" s="87"/>
      <c r="I70" s="87"/>
      <c r="J70" s="88"/>
    </row>
    <row r="71" spans="1:10" ht="33" customHeight="1" thickBot="1" x14ac:dyDescent="0.25">
      <c r="A71" s="490" t="s">
        <v>41</v>
      </c>
      <c r="B71" s="491"/>
      <c r="C71" s="492"/>
      <c r="D71" s="94"/>
      <c r="E71" s="94"/>
      <c r="F71" s="94"/>
      <c r="G71" s="94"/>
      <c r="H71" s="94"/>
      <c r="I71" s="94"/>
      <c r="J71" s="95"/>
    </row>
    <row r="72" spans="1:10" ht="22.5" customHeight="1" thickBot="1" x14ac:dyDescent="0.25"/>
    <row r="73" spans="1:10" s="25" customFormat="1" ht="33" customHeight="1" x14ac:dyDescent="0.2">
      <c r="A73" s="33" t="s">
        <v>7</v>
      </c>
      <c r="B73" s="498" t="str">
        <f>FA!F$18</f>
        <v>MEUNIER</v>
      </c>
      <c r="C73" s="498"/>
      <c r="D73" s="498"/>
      <c r="E73" s="499"/>
      <c r="F73" s="23" t="s">
        <v>8</v>
      </c>
      <c r="G73" s="486" t="str">
        <f>FA!G$18</f>
        <v>Hugo</v>
      </c>
      <c r="H73" s="487"/>
      <c r="I73" s="24" t="s">
        <v>9</v>
      </c>
      <c r="J73" s="34">
        <f>FA!K$18</f>
        <v>0</v>
      </c>
    </row>
    <row r="74" spans="1:10" s="25" customFormat="1" ht="33" customHeight="1" x14ac:dyDescent="0.2">
      <c r="A74" s="78" t="s">
        <v>54</v>
      </c>
      <c r="B74" s="80" t="str">
        <f>FA!$AA18</f>
        <v>FA</v>
      </c>
      <c r="C74" s="78" t="s">
        <v>10</v>
      </c>
      <c r="D74" s="80" t="str">
        <f>FA!$C18</f>
        <v>M</v>
      </c>
      <c r="E74" s="77" t="s">
        <v>11</v>
      </c>
      <c r="F74" s="81">
        <f>FA!$D18</f>
        <v>37773</v>
      </c>
      <c r="G74" s="76" t="s">
        <v>12</v>
      </c>
      <c r="H74" s="192" t="str">
        <f ca="1">FA!$E18</f>
        <v>JR</v>
      </c>
      <c r="I74" s="26" t="s">
        <v>13</v>
      </c>
      <c r="J74" s="27"/>
    </row>
    <row r="75" spans="1:10" s="25" customFormat="1" ht="33" customHeight="1" thickBot="1" x14ac:dyDescent="0.25">
      <c r="A75" s="79" t="s">
        <v>14</v>
      </c>
      <c r="B75" s="497" t="str">
        <f>FA!B$18</f>
        <v>0587 - TEMPLE GYM</v>
      </c>
      <c r="C75" s="497"/>
      <c r="D75" s="497"/>
      <c r="E75" s="497"/>
      <c r="F75" s="82" t="s">
        <v>15</v>
      </c>
      <c r="G75" s="488" t="str">
        <f>FA!A$18</f>
        <v>052352</v>
      </c>
      <c r="H75" s="489"/>
      <c r="I75" s="28"/>
      <c r="J75" s="29"/>
    </row>
    <row r="76" spans="1:10" s="25" customFormat="1" ht="33" customHeight="1" thickBot="1" x14ac:dyDescent="0.25">
      <c r="A76" s="90" t="s">
        <v>16</v>
      </c>
      <c r="B76" s="89"/>
      <c r="C76" s="91"/>
      <c r="D76" s="92" t="s">
        <v>17</v>
      </c>
      <c r="E76" s="92" t="s">
        <v>18</v>
      </c>
      <c r="F76" s="92" t="s">
        <v>19</v>
      </c>
      <c r="G76" s="92" t="s">
        <v>20</v>
      </c>
      <c r="H76" s="92" t="s">
        <v>21</v>
      </c>
      <c r="I76" s="92" t="s">
        <v>22</v>
      </c>
      <c r="J76" s="93" t="s">
        <v>23</v>
      </c>
    </row>
    <row r="77" spans="1:10" ht="33" customHeight="1" x14ac:dyDescent="0.2">
      <c r="A77" s="30" t="s">
        <v>38</v>
      </c>
      <c r="B77" s="493" t="s">
        <v>39</v>
      </c>
      <c r="C77" s="494"/>
      <c r="D77" s="87"/>
      <c r="E77" s="87"/>
      <c r="F77" s="87"/>
      <c r="G77" s="87"/>
      <c r="H77" s="87"/>
      <c r="I77" s="87"/>
      <c r="J77" s="88"/>
    </row>
    <row r="78" spans="1:10" ht="33" customHeight="1" x14ac:dyDescent="0.2">
      <c r="A78" s="32" t="s">
        <v>24</v>
      </c>
      <c r="B78" s="495" t="s">
        <v>40</v>
      </c>
      <c r="C78" s="496"/>
      <c r="D78" s="87"/>
      <c r="E78" s="87"/>
      <c r="F78" s="87"/>
      <c r="G78" s="87"/>
      <c r="H78" s="87"/>
      <c r="I78" s="87"/>
      <c r="J78" s="88"/>
    </row>
    <row r="79" spans="1:10" ht="33" customHeight="1" thickBot="1" x14ac:dyDescent="0.25">
      <c r="A79" s="490" t="s">
        <v>41</v>
      </c>
      <c r="B79" s="491"/>
      <c r="C79" s="492"/>
      <c r="D79" s="94"/>
      <c r="E79" s="94"/>
      <c r="F79" s="94"/>
      <c r="G79" s="94"/>
      <c r="H79" s="94"/>
      <c r="I79" s="94"/>
      <c r="J79" s="95"/>
    </row>
    <row r="80" spans="1:10" ht="22.5" customHeight="1" thickBot="1" x14ac:dyDescent="0.25"/>
    <row r="81" spans="1:10" s="25" customFormat="1" ht="33" customHeight="1" x14ac:dyDescent="0.2">
      <c r="A81" s="33" t="s">
        <v>7</v>
      </c>
      <c r="B81" s="498" t="str">
        <f>FA!F$19</f>
        <v>LEVILLAIN</v>
      </c>
      <c r="C81" s="498"/>
      <c r="D81" s="498"/>
      <c r="E81" s="499"/>
      <c r="F81" s="23" t="s">
        <v>8</v>
      </c>
      <c r="G81" s="486" t="str">
        <f>FA!G$19</f>
        <v>Theo</v>
      </c>
      <c r="H81" s="487"/>
      <c r="I81" s="24" t="s">
        <v>9</v>
      </c>
      <c r="J81" s="34">
        <f>FA!K$19</f>
        <v>0</v>
      </c>
    </row>
    <row r="82" spans="1:10" s="25" customFormat="1" ht="33" customHeight="1" x14ac:dyDescent="0.2">
      <c r="A82" s="78" t="s">
        <v>54</v>
      </c>
      <c r="B82" s="80" t="str">
        <f>FA!$AA19</f>
        <v>FA</v>
      </c>
      <c r="C82" s="78" t="s">
        <v>10</v>
      </c>
      <c r="D82" s="80" t="str">
        <f>FA!$C19</f>
        <v>M</v>
      </c>
      <c r="E82" s="77" t="s">
        <v>11</v>
      </c>
      <c r="F82" s="81">
        <f>FA!$D19</f>
        <v>38563</v>
      </c>
      <c r="G82" s="76" t="s">
        <v>12</v>
      </c>
      <c r="H82" s="192" t="str">
        <f ca="1">FA!$E19</f>
        <v>JR</v>
      </c>
      <c r="I82" s="26" t="s">
        <v>13</v>
      </c>
      <c r="J82" s="27"/>
    </row>
    <row r="83" spans="1:10" s="25" customFormat="1" ht="33" customHeight="1" thickBot="1" x14ac:dyDescent="0.25">
      <c r="A83" s="79" t="s">
        <v>14</v>
      </c>
      <c r="B83" s="497" t="str">
        <f>FA!B$19</f>
        <v>0420 - STADE AUXERROIS</v>
      </c>
      <c r="C83" s="497"/>
      <c r="D83" s="497"/>
      <c r="E83" s="497"/>
      <c r="F83" s="82" t="s">
        <v>15</v>
      </c>
      <c r="G83" s="488" t="str">
        <f>FA!A$19</f>
        <v>056336</v>
      </c>
      <c r="H83" s="489"/>
      <c r="I83" s="28"/>
      <c r="J83" s="29"/>
    </row>
    <row r="84" spans="1:10" s="25" customFormat="1" ht="33" customHeight="1" thickBot="1" x14ac:dyDescent="0.25">
      <c r="A84" s="90" t="s">
        <v>16</v>
      </c>
      <c r="B84" s="89"/>
      <c r="C84" s="91"/>
      <c r="D84" s="92" t="s">
        <v>17</v>
      </c>
      <c r="E84" s="92" t="s">
        <v>18</v>
      </c>
      <c r="F84" s="92" t="s">
        <v>19</v>
      </c>
      <c r="G84" s="92" t="s">
        <v>20</v>
      </c>
      <c r="H84" s="92" t="s">
        <v>21</v>
      </c>
      <c r="I84" s="92" t="s">
        <v>22</v>
      </c>
      <c r="J84" s="93" t="s">
        <v>23</v>
      </c>
    </row>
    <row r="85" spans="1:10" ht="33" customHeight="1" x14ac:dyDescent="0.2">
      <c r="A85" s="30" t="s">
        <v>38</v>
      </c>
      <c r="B85" s="493" t="s">
        <v>39</v>
      </c>
      <c r="C85" s="494"/>
      <c r="D85" s="87"/>
      <c r="E85" s="87"/>
      <c r="F85" s="87"/>
      <c r="G85" s="87"/>
      <c r="H85" s="87"/>
      <c r="I85" s="87"/>
      <c r="J85" s="88"/>
    </row>
    <row r="86" spans="1:10" ht="33" customHeight="1" x14ac:dyDescent="0.2">
      <c r="A86" s="32" t="s">
        <v>24</v>
      </c>
      <c r="B86" s="495" t="s">
        <v>40</v>
      </c>
      <c r="C86" s="496"/>
      <c r="D86" s="87"/>
      <c r="E86" s="87"/>
      <c r="F86" s="87"/>
      <c r="G86" s="87"/>
      <c r="H86" s="87"/>
      <c r="I86" s="87"/>
      <c r="J86" s="88"/>
    </row>
    <row r="87" spans="1:10" ht="33" customHeight="1" thickBot="1" x14ac:dyDescent="0.25">
      <c r="A87" s="490" t="s">
        <v>41</v>
      </c>
      <c r="B87" s="491"/>
      <c r="C87" s="492"/>
      <c r="D87" s="94"/>
      <c r="E87" s="94"/>
      <c r="F87" s="94"/>
      <c r="G87" s="94"/>
      <c r="H87" s="94"/>
      <c r="I87" s="94"/>
      <c r="J87" s="95"/>
    </row>
    <row r="88" spans="1:10" ht="22.5" customHeight="1" thickBot="1" x14ac:dyDescent="0.25"/>
    <row r="89" spans="1:10" s="25" customFormat="1" ht="33" customHeight="1" x14ac:dyDescent="0.2">
      <c r="A89" s="33" t="s">
        <v>7</v>
      </c>
      <c r="B89" s="498" t="str">
        <f>FA!F$20</f>
        <v>OLIVIER</v>
      </c>
      <c r="C89" s="498"/>
      <c r="D89" s="498"/>
      <c r="E89" s="499"/>
      <c r="F89" s="23" t="s">
        <v>8</v>
      </c>
      <c r="G89" s="486" t="str">
        <f>FA!G$20</f>
        <v>Ismaël</v>
      </c>
      <c r="H89" s="487"/>
      <c r="I89" s="24" t="s">
        <v>9</v>
      </c>
      <c r="J89" s="34">
        <f>FA!K$20</f>
        <v>0</v>
      </c>
    </row>
    <row r="90" spans="1:10" s="25" customFormat="1" ht="33" customHeight="1" x14ac:dyDescent="0.2">
      <c r="A90" s="78" t="s">
        <v>54</v>
      </c>
      <c r="B90" s="80" t="str">
        <f>FA!$AA20</f>
        <v>FA</v>
      </c>
      <c r="C90" s="78" t="s">
        <v>10</v>
      </c>
      <c r="D90" s="80" t="str">
        <f>FA!$C20</f>
        <v>M</v>
      </c>
      <c r="E90" s="77" t="s">
        <v>11</v>
      </c>
      <c r="F90" s="81">
        <f>FA!$D20</f>
        <v>38659</v>
      </c>
      <c r="G90" s="76" t="s">
        <v>12</v>
      </c>
      <c r="H90" s="192" t="str">
        <f ca="1">FA!$E20</f>
        <v>JR</v>
      </c>
      <c r="I90" s="26" t="s">
        <v>13</v>
      </c>
      <c r="J90" s="27"/>
    </row>
    <row r="91" spans="1:10" s="25" customFormat="1" ht="33" customHeight="1" thickBot="1" x14ac:dyDescent="0.25">
      <c r="A91" s="79" t="s">
        <v>14</v>
      </c>
      <c r="B91" s="497" t="str">
        <f>FA!B$20</f>
        <v>0294 - HC AVALLON MFAC</v>
      </c>
      <c r="C91" s="497"/>
      <c r="D91" s="497"/>
      <c r="E91" s="497"/>
      <c r="F91" s="82" t="s">
        <v>15</v>
      </c>
      <c r="G91" s="488" t="str">
        <f>FA!A$20</f>
        <v>061190</v>
      </c>
      <c r="H91" s="489"/>
      <c r="I91" s="28"/>
      <c r="J91" s="29"/>
    </row>
    <row r="92" spans="1:10" s="25" customFormat="1" ht="33" customHeight="1" thickBot="1" x14ac:dyDescent="0.25">
      <c r="A92" s="90" t="s">
        <v>16</v>
      </c>
      <c r="B92" s="89"/>
      <c r="C92" s="91"/>
      <c r="D92" s="92" t="s">
        <v>17</v>
      </c>
      <c r="E92" s="92" t="s">
        <v>18</v>
      </c>
      <c r="F92" s="92" t="s">
        <v>19</v>
      </c>
      <c r="G92" s="92" t="s">
        <v>20</v>
      </c>
      <c r="H92" s="92" t="s">
        <v>21</v>
      </c>
      <c r="I92" s="92" t="s">
        <v>22</v>
      </c>
      <c r="J92" s="93" t="s">
        <v>23</v>
      </c>
    </row>
    <row r="93" spans="1:10" ht="33" customHeight="1" x14ac:dyDescent="0.2">
      <c r="A93" s="30" t="s">
        <v>38</v>
      </c>
      <c r="B93" s="493" t="s">
        <v>39</v>
      </c>
      <c r="C93" s="494"/>
      <c r="D93" s="87"/>
      <c r="E93" s="87"/>
      <c r="F93" s="87"/>
      <c r="G93" s="87"/>
      <c r="H93" s="87"/>
      <c r="I93" s="87"/>
      <c r="J93" s="88"/>
    </row>
    <row r="94" spans="1:10" ht="33" customHeight="1" x14ac:dyDescent="0.2">
      <c r="A94" s="32" t="s">
        <v>24</v>
      </c>
      <c r="B94" s="495" t="s">
        <v>40</v>
      </c>
      <c r="C94" s="496"/>
      <c r="D94" s="87"/>
      <c r="E94" s="87"/>
      <c r="F94" s="87"/>
      <c r="G94" s="87"/>
      <c r="H94" s="87"/>
      <c r="I94" s="87"/>
      <c r="J94" s="88"/>
    </row>
    <row r="95" spans="1:10" ht="33" customHeight="1" thickBot="1" x14ac:dyDescent="0.25">
      <c r="A95" s="490" t="s">
        <v>41</v>
      </c>
      <c r="B95" s="491"/>
      <c r="C95" s="492"/>
      <c r="D95" s="94"/>
      <c r="E95" s="94"/>
      <c r="F95" s="94"/>
      <c r="G95" s="94"/>
      <c r="H95" s="94"/>
      <c r="I95" s="94"/>
      <c r="J95" s="95"/>
    </row>
    <row r="96" spans="1:10" ht="22.5" customHeight="1" thickBot="1" x14ac:dyDescent="0.25"/>
    <row r="97" spans="1:10" s="25" customFormat="1" ht="33" customHeight="1" x14ac:dyDescent="0.2">
      <c r="A97" s="33" t="s">
        <v>7</v>
      </c>
      <c r="B97" s="498" t="str">
        <f>FA!F$21</f>
        <v>BRICAGE</v>
      </c>
      <c r="C97" s="498"/>
      <c r="D97" s="498"/>
      <c r="E97" s="499"/>
      <c r="F97" s="23" t="s">
        <v>8</v>
      </c>
      <c r="G97" s="486" t="str">
        <f>FA!G$21</f>
        <v>Gabriel</v>
      </c>
      <c r="H97" s="487"/>
      <c r="I97" s="24" t="s">
        <v>9</v>
      </c>
      <c r="J97" s="34">
        <f>FA!K$21</f>
        <v>0</v>
      </c>
    </row>
    <row r="98" spans="1:10" s="25" customFormat="1" ht="33" customHeight="1" x14ac:dyDescent="0.2">
      <c r="A98" s="78" t="s">
        <v>54</v>
      </c>
      <c r="B98" s="80" t="str">
        <f>FA!$AA21</f>
        <v>FA</v>
      </c>
      <c r="C98" s="78" t="s">
        <v>10</v>
      </c>
      <c r="D98" s="80" t="str">
        <f>FA!$C21</f>
        <v>M</v>
      </c>
      <c r="E98" s="77" t="s">
        <v>11</v>
      </c>
      <c r="F98" s="81">
        <f>FA!$D21</f>
        <v>38034</v>
      </c>
      <c r="G98" s="76" t="s">
        <v>12</v>
      </c>
      <c r="H98" s="192" t="str">
        <f ca="1">FA!E$21</f>
        <v>JR</v>
      </c>
      <c r="I98" s="26" t="s">
        <v>13</v>
      </c>
      <c r="J98" s="27"/>
    </row>
    <row r="99" spans="1:10" s="25" customFormat="1" ht="33" customHeight="1" thickBot="1" x14ac:dyDescent="0.25">
      <c r="A99" s="79" t="s">
        <v>14</v>
      </c>
      <c r="B99" s="497" t="str">
        <f>FA!B$21</f>
        <v>0024 - AS FOURCHAMBAULT</v>
      </c>
      <c r="C99" s="497"/>
      <c r="D99" s="497"/>
      <c r="E99" s="497"/>
      <c r="F99" s="82" t="s">
        <v>15</v>
      </c>
      <c r="G99" s="488" t="str">
        <f>FA!A$21</f>
        <v>056922</v>
      </c>
      <c r="H99" s="489"/>
      <c r="I99" s="28"/>
      <c r="J99" s="29"/>
    </row>
    <row r="100" spans="1:10" s="25" customFormat="1" ht="33" customHeight="1" thickBot="1" x14ac:dyDescent="0.25">
      <c r="A100" s="90" t="s">
        <v>16</v>
      </c>
      <c r="B100" s="89"/>
      <c r="C100" s="91"/>
      <c r="D100" s="92" t="s">
        <v>17</v>
      </c>
      <c r="E100" s="92" t="s">
        <v>18</v>
      </c>
      <c r="F100" s="92" t="s">
        <v>19</v>
      </c>
      <c r="G100" s="92" t="s">
        <v>20</v>
      </c>
      <c r="H100" s="92" t="s">
        <v>21</v>
      </c>
      <c r="I100" s="92" t="s">
        <v>22</v>
      </c>
      <c r="J100" s="93" t="s">
        <v>23</v>
      </c>
    </row>
    <row r="101" spans="1:10" ht="33" customHeight="1" x14ac:dyDescent="0.2">
      <c r="A101" s="30" t="s">
        <v>38</v>
      </c>
      <c r="B101" s="493" t="s">
        <v>39</v>
      </c>
      <c r="C101" s="494"/>
      <c r="D101" s="87"/>
      <c r="E101" s="87"/>
      <c r="F101" s="87"/>
      <c r="G101" s="87"/>
      <c r="H101" s="87"/>
      <c r="I101" s="87"/>
      <c r="J101" s="88"/>
    </row>
    <row r="102" spans="1:10" ht="33" customHeight="1" x14ac:dyDescent="0.2">
      <c r="A102" s="32" t="s">
        <v>24</v>
      </c>
      <c r="B102" s="495" t="s">
        <v>40</v>
      </c>
      <c r="C102" s="496"/>
      <c r="D102" s="87"/>
      <c r="E102" s="87"/>
      <c r="F102" s="87"/>
      <c r="G102" s="87"/>
      <c r="H102" s="87"/>
      <c r="I102" s="87"/>
      <c r="J102" s="88"/>
    </row>
    <row r="103" spans="1:10" ht="33" customHeight="1" thickBot="1" x14ac:dyDescent="0.25">
      <c r="A103" s="490" t="s">
        <v>41</v>
      </c>
      <c r="B103" s="491"/>
      <c r="C103" s="492"/>
      <c r="D103" s="94"/>
      <c r="E103" s="94"/>
      <c r="F103" s="94"/>
      <c r="G103" s="94"/>
      <c r="H103" s="94"/>
      <c r="I103" s="94"/>
      <c r="J103" s="95"/>
    </row>
    <row r="104" spans="1:10" ht="22.5" customHeight="1" thickBot="1" x14ac:dyDescent="0.25"/>
    <row r="105" spans="1:10" s="25" customFormat="1" ht="33" customHeight="1" x14ac:dyDescent="0.2">
      <c r="A105" s="33" t="s">
        <v>7</v>
      </c>
      <c r="B105" s="498" t="str">
        <f>FA!F$22</f>
        <v>BERAUD</v>
      </c>
      <c r="C105" s="498"/>
      <c r="D105" s="498"/>
      <c r="E105" s="499"/>
      <c r="F105" s="23" t="s">
        <v>8</v>
      </c>
      <c r="G105" s="486" t="str">
        <f>FA!G$22</f>
        <v>Adrien</v>
      </c>
      <c r="H105" s="487"/>
      <c r="I105" s="24" t="s">
        <v>9</v>
      </c>
      <c r="J105" s="34">
        <f>FA!K$22</f>
        <v>0</v>
      </c>
    </row>
    <row r="106" spans="1:10" s="25" customFormat="1" ht="33" customHeight="1" x14ac:dyDescent="0.2">
      <c r="A106" s="78" t="s">
        <v>54</v>
      </c>
      <c r="B106" s="80" t="str">
        <f>FA!$AA22</f>
        <v>FA</v>
      </c>
      <c r="C106" s="78" t="s">
        <v>10</v>
      </c>
      <c r="D106" s="80" t="str">
        <f>FA!$C22</f>
        <v>M</v>
      </c>
      <c r="E106" s="77" t="s">
        <v>11</v>
      </c>
      <c r="F106" s="81">
        <f>FA!$D22</f>
        <v>38123</v>
      </c>
      <c r="G106" s="76" t="s">
        <v>12</v>
      </c>
      <c r="H106" s="192" t="str">
        <f ca="1">FA!$E22</f>
        <v>JR</v>
      </c>
      <c r="I106" s="26" t="s">
        <v>13</v>
      </c>
      <c r="J106" s="27"/>
    </row>
    <row r="107" spans="1:10" s="25" customFormat="1" ht="33" customHeight="1" thickBot="1" x14ac:dyDescent="0.25">
      <c r="A107" s="79" t="s">
        <v>14</v>
      </c>
      <c r="B107" s="497" t="str">
        <f>FA!B$22</f>
        <v>0420 - STADE AUXERROIS</v>
      </c>
      <c r="C107" s="497"/>
      <c r="D107" s="497"/>
      <c r="E107" s="497"/>
      <c r="F107" s="82" t="s">
        <v>15</v>
      </c>
      <c r="G107" s="488" t="str">
        <f>FA!A$22</f>
        <v>058156</v>
      </c>
      <c r="H107" s="489"/>
      <c r="I107" s="28"/>
      <c r="J107" s="29"/>
    </row>
    <row r="108" spans="1:10" s="25" customFormat="1" ht="33" customHeight="1" thickBot="1" x14ac:dyDescent="0.25">
      <c r="A108" s="90" t="s">
        <v>16</v>
      </c>
      <c r="B108" s="89"/>
      <c r="C108" s="91"/>
      <c r="D108" s="92" t="s">
        <v>17</v>
      </c>
      <c r="E108" s="92" t="s">
        <v>18</v>
      </c>
      <c r="F108" s="92" t="s">
        <v>19</v>
      </c>
      <c r="G108" s="92" t="s">
        <v>20</v>
      </c>
      <c r="H108" s="92" t="s">
        <v>21</v>
      </c>
      <c r="I108" s="92" t="s">
        <v>22</v>
      </c>
      <c r="J108" s="93" t="s">
        <v>23</v>
      </c>
    </row>
    <row r="109" spans="1:10" ht="33" customHeight="1" x14ac:dyDescent="0.2">
      <c r="A109" s="30" t="s">
        <v>38</v>
      </c>
      <c r="B109" s="493" t="s">
        <v>39</v>
      </c>
      <c r="C109" s="494"/>
      <c r="D109" s="87"/>
      <c r="E109" s="87"/>
      <c r="F109" s="87"/>
      <c r="G109" s="87"/>
      <c r="H109" s="87"/>
      <c r="I109" s="87"/>
      <c r="J109" s="88"/>
    </row>
    <row r="110" spans="1:10" ht="33" customHeight="1" x14ac:dyDescent="0.2">
      <c r="A110" s="32" t="s">
        <v>24</v>
      </c>
      <c r="B110" s="495" t="s">
        <v>40</v>
      </c>
      <c r="C110" s="496"/>
      <c r="D110" s="87"/>
      <c r="E110" s="87"/>
      <c r="F110" s="87"/>
      <c r="G110" s="87"/>
      <c r="H110" s="87"/>
      <c r="I110" s="87"/>
      <c r="J110" s="88"/>
    </row>
    <row r="111" spans="1:10" ht="33" customHeight="1" thickBot="1" x14ac:dyDescent="0.25">
      <c r="A111" s="490" t="s">
        <v>41</v>
      </c>
      <c r="B111" s="491"/>
      <c r="C111" s="492"/>
      <c r="D111" s="94"/>
      <c r="E111" s="94"/>
      <c r="F111" s="94"/>
      <c r="G111" s="94"/>
      <c r="H111" s="94"/>
      <c r="I111" s="94"/>
      <c r="J111" s="95"/>
    </row>
    <row r="112" spans="1:10" ht="22.5" customHeight="1" thickBot="1" x14ac:dyDescent="0.25"/>
    <row r="113" spans="1:10" s="25" customFormat="1" ht="33" customHeight="1" x14ac:dyDescent="0.2">
      <c r="A113" s="33" t="s">
        <v>7</v>
      </c>
      <c r="B113" s="498" t="str">
        <f>FA!F$23</f>
        <v>GÉRARD</v>
      </c>
      <c r="C113" s="498"/>
      <c r="D113" s="498"/>
      <c r="E113" s="499"/>
      <c r="F113" s="23" t="s">
        <v>8</v>
      </c>
      <c r="G113" s="486" t="str">
        <f>FA!G$23</f>
        <v>Mathieu</v>
      </c>
      <c r="H113" s="487"/>
      <c r="I113" s="24" t="s">
        <v>9</v>
      </c>
      <c r="J113" s="34">
        <f>FA!K$23</f>
        <v>0</v>
      </c>
    </row>
    <row r="114" spans="1:10" s="25" customFormat="1" ht="33" customHeight="1" x14ac:dyDescent="0.2">
      <c r="A114" s="78" t="s">
        <v>54</v>
      </c>
      <c r="B114" s="80" t="str">
        <f>FA!$AA23</f>
        <v>FA</v>
      </c>
      <c r="C114" s="78" t="s">
        <v>10</v>
      </c>
      <c r="D114" s="80" t="str">
        <f>FA!$C23</f>
        <v>M</v>
      </c>
      <c r="E114" s="77" t="s">
        <v>11</v>
      </c>
      <c r="F114" s="81">
        <f>FA!$D23</f>
        <v>38727</v>
      </c>
      <c r="G114" s="76" t="s">
        <v>12</v>
      </c>
      <c r="H114" s="192" t="str">
        <f ca="1">FA!$E23</f>
        <v>JR</v>
      </c>
      <c r="I114" s="26" t="s">
        <v>13</v>
      </c>
      <c r="J114" s="27"/>
    </row>
    <row r="115" spans="1:10" s="25" customFormat="1" ht="33" customHeight="1" thickBot="1" x14ac:dyDescent="0.25">
      <c r="A115" s="79" t="s">
        <v>14</v>
      </c>
      <c r="B115" s="497" t="str">
        <f>FA!B$23</f>
        <v>0587 - TEMPLE GYM</v>
      </c>
      <c r="C115" s="497"/>
      <c r="D115" s="497"/>
      <c r="E115" s="497"/>
      <c r="F115" s="82" t="s">
        <v>15</v>
      </c>
      <c r="G115" s="488" t="str">
        <f>FA!A$23</f>
        <v>053236</v>
      </c>
      <c r="H115" s="489"/>
      <c r="I115" s="28"/>
      <c r="J115" s="29"/>
    </row>
    <row r="116" spans="1:10" s="25" customFormat="1" ht="33" customHeight="1" thickBot="1" x14ac:dyDescent="0.25">
      <c r="A116" s="90" t="s">
        <v>16</v>
      </c>
      <c r="B116" s="89"/>
      <c r="C116" s="91"/>
      <c r="D116" s="92" t="s">
        <v>17</v>
      </c>
      <c r="E116" s="92" t="s">
        <v>18</v>
      </c>
      <c r="F116" s="92" t="s">
        <v>19</v>
      </c>
      <c r="G116" s="92" t="s">
        <v>20</v>
      </c>
      <c r="H116" s="92" t="s">
        <v>21</v>
      </c>
      <c r="I116" s="92" t="s">
        <v>22</v>
      </c>
      <c r="J116" s="93" t="s">
        <v>23</v>
      </c>
    </row>
    <row r="117" spans="1:10" ht="33" customHeight="1" x14ac:dyDescent="0.2">
      <c r="A117" s="30" t="s">
        <v>38</v>
      </c>
      <c r="B117" s="493" t="s">
        <v>39</v>
      </c>
      <c r="C117" s="494"/>
      <c r="D117" s="87"/>
      <c r="E117" s="87"/>
      <c r="F117" s="87"/>
      <c r="G117" s="87"/>
      <c r="H117" s="87"/>
      <c r="I117" s="87"/>
      <c r="J117" s="88"/>
    </row>
    <row r="118" spans="1:10" ht="33" customHeight="1" x14ac:dyDescent="0.2">
      <c r="A118" s="32" t="s">
        <v>24</v>
      </c>
      <c r="B118" s="495" t="s">
        <v>40</v>
      </c>
      <c r="C118" s="496"/>
      <c r="D118" s="87"/>
      <c r="E118" s="87"/>
      <c r="F118" s="87"/>
      <c r="G118" s="87"/>
      <c r="H118" s="87"/>
      <c r="I118" s="87"/>
      <c r="J118" s="88"/>
    </row>
    <row r="119" spans="1:10" ht="33" customHeight="1" thickBot="1" x14ac:dyDescent="0.25">
      <c r="A119" s="490" t="s">
        <v>41</v>
      </c>
      <c r="B119" s="491"/>
      <c r="C119" s="492"/>
      <c r="D119" s="94"/>
      <c r="E119" s="94"/>
      <c r="F119" s="94"/>
      <c r="G119" s="94"/>
      <c r="H119" s="94"/>
      <c r="I119" s="94"/>
      <c r="J119" s="95"/>
    </row>
    <row r="120" spans="1:10" ht="22.5" customHeight="1" thickBot="1" x14ac:dyDescent="0.25"/>
    <row r="121" spans="1:10" s="25" customFormat="1" ht="33" customHeight="1" x14ac:dyDescent="0.2">
      <c r="A121" s="33" t="s">
        <v>7</v>
      </c>
      <c r="B121" s="498" t="str">
        <f>FA!F$24</f>
        <v>TRIOLET</v>
      </c>
      <c r="C121" s="498"/>
      <c r="D121" s="498"/>
      <c r="E121" s="499"/>
      <c r="F121" s="23" t="s">
        <v>8</v>
      </c>
      <c r="G121" s="486" t="str">
        <f>FA!G$24</f>
        <v>Maxence</v>
      </c>
      <c r="H121" s="487"/>
      <c r="I121" s="24" t="s">
        <v>9</v>
      </c>
      <c r="J121" s="34">
        <f>FA!K$24</f>
        <v>0</v>
      </c>
    </row>
    <row r="122" spans="1:10" s="25" customFormat="1" ht="33" customHeight="1" x14ac:dyDescent="0.2">
      <c r="A122" s="78" t="s">
        <v>54</v>
      </c>
      <c r="B122" s="80" t="str">
        <f>FA!$AA24</f>
        <v>FA</v>
      </c>
      <c r="C122" s="78" t="s">
        <v>10</v>
      </c>
      <c r="D122" s="80" t="str">
        <f>FA!$C24</f>
        <v>M</v>
      </c>
      <c r="E122" s="77" t="s">
        <v>11</v>
      </c>
      <c r="F122" s="81">
        <f>FA!$D24</f>
        <v>37458</v>
      </c>
      <c r="G122" s="76" t="s">
        <v>12</v>
      </c>
      <c r="H122" s="192" t="str">
        <f ca="1">FA!$E24</f>
        <v>JR</v>
      </c>
      <c r="I122" s="26" t="s">
        <v>13</v>
      </c>
      <c r="J122" s="27"/>
    </row>
    <row r="123" spans="1:10" s="25" customFormat="1" ht="33" customHeight="1" thickBot="1" x14ac:dyDescent="0.25">
      <c r="A123" s="79" t="s">
        <v>14</v>
      </c>
      <c r="B123" s="497" t="str">
        <f>FA!B$24</f>
        <v>0460 - USO DIJON</v>
      </c>
      <c r="C123" s="497"/>
      <c r="D123" s="497"/>
      <c r="E123" s="497"/>
      <c r="F123" s="82" t="s">
        <v>15</v>
      </c>
      <c r="G123" s="488" t="str">
        <f>FA!A$24</f>
        <v>050986</v>
      </c>
      <c r="H123" s="489"/>
      <c r="I123" s="28"/>
      <c r="J123" s="29"/>
    </row>
    <row r="124" spans="1:10" s="25" customFormat="1" ht="33" customHeight="1" thickBot="1" x14ac:dyDescent="0.25">
      <c r="A124" s="90" t="s">
        <v>16</v>
      </c>
      <c r="B124" s="89"/>
      <c r="C124" s="91"/>
      <c r="D124" s="92" t="s">
        <v>17</v>
      </c>
      <c r="E124" s="92" t="s">
        <v>18</v>
      </c>
      <c r="F124" s="92" t="s">
        <v>19</v>
      </c>
      <c r="G124" s="92" t="s">
        <v>20</v>
      </c>
      <c r="H124" s="92" t="s">
        <v>21</v>
      </c>
      <c r="I124" s="92" t="s">
        <v>22</v>
      </c>
      <c r="J124" s="93" t="s">
        <v>23</v>
      </c>
    </row>
    <row r="125" spans="1:10" ht="33" customHeight="1" x14ac:dyDescent="0.2">
      <c r="A125" s="30" t="s">
        <v>38</v>
      </c>
      <c r="B125" s="493" t="s">
        <v>39</v>
      </c>
      <c r="C125" s="494"/>
      <c r="D125" s="87"/>
      <c r="E125" s="87"/>
      <c r="F125" s="87"/>
      <c r="G125" s="87"/>
      <c r="H125" s="87"/>
      <c r="I125" s="87"/>
      <c r="J125" s="88"/>
    </row>
    <row r="126" spans="1:10" ht="33" customHeight="1" x14ac:dyDescent="0.2">
      <c r="A126" s="32" t="s">
        <v>24</v>
      </c>
      <c r="B126" s="495" t="s">
        <v>40</v>
      </c>
      <c r="C126" s="496"/>
      <c r="D126" s="87"/>
      <c r="E126" s="87"/>
      <c r="F126" s="87"/>
      <c r="G126" s="87"/>
      <c r="H126" s="87"/>
      <c r="I126" s="87"/>
      <c r="J126" s="88"/>
    </row>
    <row r="127" spans="1:10" ht="33" customHeight="1" thickBot="1" x14ac:dyDescent="0.25">
      <c r="A127" s="490" t="s">
        <v>41</v>
      </c>
      <c r="B127" s="491"/>
      <c r="C127" s="492"/>
      <c r="D127" s="94"/>
      <c r="E127" s="94"/>
      <c r="F127" s="94"/>
      <c r="G127" s="94"/>
      <c r="H127" s="94"/>
      <c r="I127" s="94"/>
      <c r="J127" s="95"/>
    </row>
    <row r="128" spans="1:10" ht="22.5" customHeight="1" x14ac:dyDescent="0.2"/>
  </sheetData>
  <mergeCells count="112">
    <mergeCell ref="B125:C125"/>
    <mergeCell ref="B126:C126"/>
    <mergeCell ref="A127:C127"/>
    <mergeCell ref="B123:E123"/>
    <mergeCell ref="B45:C45"/>
    <mergeCell ref="B46:C46"/>
    <mergeCell ref="B13:C13"/>
    <mergeCell ref="B14:C14"/>
    <mergeCell ref="A15:C15"/>
    <mergeCell ref="B37:C37"/>
    <mergeCell ref="B19:E19"/>
    <mergeCell ref="B27:E27"/>
    <mergeCell ref="B21:C21"/>
    <mergeCell ref="B38:C38"/>
    <mergeCell ref="B41:E41"/>
    <mergeCell ref="B33:E33"/>
    <mergeCell ref="B25:E25"/>
    <mergeCell ref="B17:E17"/>
    <mergeCell ref="B91:E91"/>
    <mergeCell ref="B99:E99"/>
    <mergeCell ref="B107:E107"/>
    <mergeCell ref="B35:E35"/>
    <mergeCell ref="B43:E43"/>
    <mergeCell ref="B51:E51"/>
    <mergeCell ref="B121:E121"/>
    <mergeCell ref="B113:E113"/>
    <mergeCell ref="B105:E105"/>
    <mergeCell ref="B85:C85"/>
    <mergeCell ref="B86:C86"/>
    <mergeCell ref="A87:C87"/>
    <mergeCell ref="B93:C93"/>
    <mergeCell ref="B94:C94"/>
    <mergeCell ref="A95:C95"/>
    <mergeCell ref="B97:E97"/>
    <mergeCell ref="B89:E89"/>
    <mergeCell ref="B110:C110"/>
    <mergeCell ref="A111:C111"/>
    <mergeCell ref="B115:E115"/>
    <mergeCell ref="B75:E75"/>
    <mergeCell ref="B83:E83"/>
    <mergeCell ref="B118:C118"/>
    <mergeCell ref="A119:C119"/>
    <mergeCell ref="A39:C39"/>
    <mergeCell ref="B117:C117"/>
    <mergeCell ref="B101:C101"/>
    <mergeCell ref="B102:C102"/>
    <mergeCell ref="A103:C103"/>
    <mergeCell ref="B109:C109"/>
    <mergeCell ref="B81:E81"/>
    <mergeCell ref="B73:E73"/>
    <mergeCell ref="B65:E65"/>
    <mergeCell ref="B57:E57"/>
    <mergeCell ref="B49:E49"/>
    <mergeCell ref="B69:C69"/>
    <mergeCell ref="B70:C70"/>
    <mergeCell ref="A71:C71"/>
    <mergeCell ref="B77:C77"/>
    <mergeCell ref="B78:C78"/>
    <mergeCell ref="A79:C79"/>
    <mergeCell ref="B53:C53"/>
    <mergeCell ref="B54:C54"/>
    <mergeCell ref="B59:E59"/>
    <mergeCell ref="A55:C55"/>
    <mergeCell ref="B61:C61"/>
    <mergeCell ref="B62:C62"/>
    <mergeCell ref="A63:C63"/>
    <mergeCell ref="B67:E67"/>
    <mergeCell ref="B9:E9"/>
    <mergeCell ref="B1:E1"/>
    <mergeCell ref="B3:E3"/>
    <mergeCell ref="B22:C22"/>
    <mergeCell ref="A23:C23"/>
    <mergeCell ref="B29:C29"/>
    <mergeCell ref="B30:C30"/>
    <mergeCell ref="A31:C31"/>
    <mergeCell ref="B5:C5"/>
    <mergeCell ref="B6:C6"/>
    <mergeCell ref="A7:C7"/>
    <mergeCell ref="B11:E11"/>
    <mergeCell ref="A47:C47"/>
    <mergeCell ref="G9:H9"/>
    <mergeCell ref="G11:H11"/>
    <mergeCell ref="G17:H17"/>
    <mergeCell ref="G19:H19"/>
    <mergeCell ref="G25:H25"/>
    <mergeCell ref="G27:H27"/>
    <mergeCell ref="G3:H3"/>
    <mergeCell ref="G1:H1"/>
    <mergeCell ref="G33:H33"/>
    <mergeCell ref="G35:H35"/>
    <mergeCell ref="G41:H41"/>
    <mergeCell ref="G43:H43"/>
    <mergeCell ref="G49:H49"/>
    <mergeCell ref="G51:H51"/>
    <mergeCell ref="G57:H57"/>
    <mergeCell ref="G59:H59"/>
    <mergeCell ref="G65:H65"/>
    <mergeCell ref="G67:H67"/>
    <mergeCell ref="G105:H105"/>
    <mergeCell ref="G107:H107"/>
    <mergeCell ref="G113:H113"/>
    <mergeCell ref="G115:H115"/>
    <mergeCell ref="G123:H123"/>
    <mergeCell ref="G121:H121"/>
    <mergeCell ref="G73:H73"/>
    <mergeCell ref="G75:H75"/>
    <mergeCell ref="G81:H81"/>
    <mergeCell ref="G83:H83"/>
    <mergeCell ref="G89:H89"/>
    <mergeCell ref="G91:H91"/>
    <mergeCell ref="G97:H97"/>
    <mergeCell ref="G99:H99"/>
  </mergeCells>
  <conditionalFormatting sqref="A129:J65505 A1:A24 K1:IV32 A28:A32 A36:A40 K36:IV40 K44:IV48 A44:A48 A52:A56 K52:IV56 A60:A128 K60:IV1048576">
    <cfRule type="cellIs" dxfId="126" priority="626" stopIfTrue="1" operator="equal">
      <formula>0</formula>
    </cfRule>
  </conditionalFormatting>
  <conditionalFormatting sqref="C4 C12 C20 C28 C36 C44 C52 C60 C68 C76 C84 C92 C100 C108 C116 C124 B4:B5 B12:B13 B20:B21 B28:B29 B36:B37 B44:B45 B52:B53 B60:B61 B68:B69 B76:B77 B84:B85 B92:B93 B100:B101 B108:B109 B116:B117 B124:B125 I1 I9 I17 I65 I73 I81 I89 I97 I105 I113 I121 F1 F9 F17 F65 F73 F81 F89 F97 F105 F113 F121 I2:J3 I10:J11 I18:J19 I66:J67 I74:J75 I82:J83 I90:J91 I98:J99 I106:J107 I114:J115 I122:J123 F3 F11 F19 F67 F75 F83 F91 F99 F107 F115 F123 C2 C10 C18 C66 C74 C82 C90 C98 C106 C114 C122 B8:C8 B16:C16 B24:C24 B32:C32 B40:C40 B48:C48 B56:C56 B64:C64 B72:C72 B80:C80 B88:C88 B96:C96 B104:C104 B112:C112 B120:C120 B128:C128 D4:J8 D12:J16 D20:J24 D28:J32 D36:J40 D44:J48 D52:J56 D60:J64 D68:J72 D76:J80 D84:J88 D92:J96 D100:J104 D108:J112 D116:J120 D124:J128">
    <cfRule type="cellIs" dxfId="125" priority="114" stopIfTrue="1" operator="equal">
      <formula>0</formula>
    </cfRule>
  </conditionalFormatting>
  <conditionalFormatting sqref="B3 B11 B19 B67 B75 B83 B91 B99 B115 B123">
    <cfRule type="cellIs" dxfId="124" priority="113" stopIfTrue="1" operator="equal">
      <formula>0</formula>
    </cfRule>
  </conditionalFormatting>
  <conditionalFormatting sqref="J1 J9 J17 J65 J73 J81 J89 J97 J105 J113 J121">
    <cfRule type="cellIs" dxfId="123" priority="109" stopIfTrue="1" operator="equal">
      <formula>0</formula>
    </cfRule>
  </conditionalFormatting>
  <conditionalFormatting sqref="B1 B9 B17 B65 B73 B81 B89 B97 B105 B113 B121">
    <cfRule type="cellIs" dxfId="122" priority="112" stopIfTrue="1" operator="equal">
      <formula>0</formula>
    </cfRule>
  </conditionalFormatting>
  <conditionalFormatting sqref="G1 G9 G17 G65 G73 G81 G89 G97 G105 G113 G121">
    <cfRule type="cellIs" dxfId="121" priority="111" stopIfTrue="1" operator="equal">
      <formula>0</formula>
    </cfRule>
  </conditionalFormatting>
  <conditionalFormatting sqref="G3 G11 G19 G67 G75 G83 G91 G99 G107 G115 G123">
    <cfRule type="cellIs" dxfId="120" priority="110" stopIfTrue="1" operator="equal">
      <formula>0</formula>
    </cfRule>
  </conditionalFormatting>
  <conditionalFormatting sqref="F2 F10 F18 F66 F74 F82 F90 F98 F106 F114 F122">
    <cfRule type="cellIs" dxfId="119" priority="106" stopIfTrue="1" operator="equal">
      <formula>0</formula>
    </cfRule>
  </conditionalFormatting>
  <conditionalFormatting sqref="H10 H2 H18">
    <cfRule type="cellIs" dxfId="118" priority="108" stopIfTrue="1" operator="equal">
      <formula>0</formula>
    </cfRule>
  </conditionalFormatting>
  <conditionalFormatting sqref="G2 G10 G18 G66 G74 G82 G90 G98 G106 G114 G122">
    <cfRule type="cellIs" dxfId="117" priority="107" stopIfTrue="1" operator="equal">
      <formula>0</formula>
    </cfRule>
  </conditionalFormatting>
  <conditionalFormatting sqref="E2 E10 E18 E66 E74 E82 E90 E98 E106 E114 E122">
    <cfRule type="cellIs" dxfId="116" priority="105" stopIfTrue="1" operator="equal">
      <formula>0</formula>
    </cfRule>
  </conditionalFormatting>
  <conditionalFormatting sqref="D2 D18 D66 D74 D82 D90 D98 D106 D114 D122 D10">
    <cfRule type="cellIs" dxfId="115" priority="104" stopIfTrue="1" operator="equal">
      <formula>0</formula>
    </cfRule>
  </conditionalFormatting>
  <conditionalFormatting sqref="B2 B10 B18 B66 B74 B82 B90 B98 B106 B114 B122">
    <cfRule type="cellIs" dxfId="114" priority="103" stopIfTrue="1" operator="equal">
      <formula>0</formula>
    </cfRule>
  </conditionalFormatting>
  <conditionalFormatting sqref="A25:A27">
    <cfRule type="cellIs" dxfId="113" priority="102" stopIfTrue="1" operator="equal">
      <formula>0</formula>
    </cfRule>
  </conditionalFormatting>
  <conditionalFormatting sqref="I25 F25 I26:J27 F27 C26">
    <cfRule type="cellIs" dxfId="112" priority="101" stopIfTrue="1" operator="equal">
      <formula>0</formula>
    </cfRule>
  </conditionalFormatting>
  <conditionalFormatting sqref="B27">
    <cfRule type="cellIs" dxfId="111" priority="100" stopIfTrue="1" operator="equal">
      <formula>0</formula>
    </cfRule>
  </conditionalFormatting>
  <conditionalFormatting sqref="J25">
    <cfRule type="cellIs" dxfId="110" priority="96" stopIfTrue="1" operator="equal">
      <formula>0</formula>
    </cfRule>
  </conditionalFormatting>
  <conditionalFormatting sqref="B25">
    <cfRule type="cellIs" dxfId="109" priority="99" stopIfTrue="1" operator="equal">
      <formula>0</formula>
    </cfRule>
  </conditionalFormatting>
  <conditionalFormatting sqref="G25">
    <cfRule type="cellIs" dxfId="108" priority="98" stopIfTrue="1" operator="equal">
      <formula>0</formula>
    </cfRule>
  </conditionalFormatting>
  <conditionalFormatting sqref="G27">
    <cfRule type="cellIs" dxfId="107" priority="97" stopIfTrue="1" operator="equal">
      <formula>0</formula>
    </cfRule>
  </conditionalFormatting>
  <conditionalFormatting sqref="F26">
    <cfRule type="cellIs" dxfId="106" priority="93" stopIfTrue="1" operator="equal">
      <formula>0</formula>
    </cfRule>
  </conditionalFormatting>
  <conditionalFormatting sqref="G26">
    <cfRule type="cellIs" dxfId="105" priority="94" stopIfTrue="1" operator="equal">
      <formula>0</formula>
    </cfRule>
  </conditionalFormatting>
  <conditionalFormatting sqref="E26">
    <cfRule type="cellIs" dxfId="104" priority="92" stopIfTrue="1" operator="equal">
      <formula>0</formula>
    </cfRule>
  </conditionalFormatting>
  <conditionalFormatting sqref="D26">
    <cfRule type="cellIs" dxfId="103" priority="91" stopIfTrue="1" operator="equal">
      <formula>0</formula>
    </cfRule>
  </conditionalFormatting>
  <conditionalFormatting sqref="B26">
    <cfRule type="cellIs" dxfId="102" priority="90" stopIfTrue="1" operator="equal">
      <formula>0</formula>
    </cfRule>
  </conditionalFormatting>
  <conditionalFormatting sqref="K33:IV35">
    <cfRule type="cellIs" dxfId="101" priority="89" stopIfTrue="1" operator="equal">
      <formula>0</formula>
    </cfRule>
  </conditionalFormatting>
  <conditionalFormatting sqref="A33:A35">
    <cfRule type="cellIs" dxfId="100" priority="88" stopIfTrue="1" operator="equal">
      <formula>0</formula>
    </cfRule>
  </conditionalFormatting>
  <conditionalFormatting sqref="I33 F33 I34:J35 F35 C34">
    <cfRule type="cellIs" dxfId="99" priority="87" stopIfTrue="1" operator="equal">
      <formula>0</formula>
    </cfRule>
  </conditionalFormatting>
  <conditionalFormatting sqref="B35">
    <cfRule type="cellIs" dxfId="98" priority="86" stopIfTrue="1" operator="equal">
      <formula>0</formula>
    </cfRule>
  </conditionalFormatting>
  <conditionalFormatting sqref="J33">
    <cfRule type="cellIs" dxfId="97" priority="82" stopIfTrue="1" operator="equal">
      <formula>0</formula>
    </cfRule>
  </conditionalFormatting>
  <conditionalFormatting sqref="B33">
    <cfRule type="cellIs" dxfId="96" priority="85" stopIfTrue="1" operator="equal">
      <formula>0</formula>
    </cfRule>
  </conditionalFormatting>
  <conditionalFormatting sqref="G33">
    <cfRule type="cellIs" dxfId="95" priority="84" stopIfTrue="1" operator="equal">
      <formula>0</formula>
    </cfRule>
  </conditionalFormatting>
  <conditionalFormatting sqref="G35">
    <cfRule type="cellIs" dxfId="94" priority="83" stopIfTrue="1" operator="equal">
      <formula>0</formula>
    </cfRule>
  </conditionalFormatting>
  <conditionalFormatting sqref="F34">
    <cfRule type="cellIs" dxfId="93" priority="79" stopIfTrue="1" operator="equal">
      <formula>0</formula>
    </cfRule>
  </conditionalFormatting>
  <conditionalFormatting sqref="G34">
    <cfRule type="cellIs" dxfId="92" priority="80" stopIfTrue="1" operator="equal">
      <formula>0</formula>
    </cfRule>
  </conditionalFormatting>
  <conditionalFormatting sqref="E34">
    <cfRule type="cellIs" dxfId="91" priority="78" stopIfTrue="1" operator="equal">
      <formula>0</formula>
    </cfRule>
  </conditionalFormatting>
  <conditionalFormatting sqref="D34">
    <cfRule type="cellIs" dxfId="90" priority="77" stopIfTrue="1" operator="equal">
      <formula>0</formula>
    </cfRule>
  </conditionalFormatting>
  <conditionalFormatting sqref="B34">
    <cfRule type="cellIs" dxfId="89" priority="76" stopIfTrue="1" operator="equal">
      <formula>0</formula>
    </cfRule>
  </conditionalFormatting>
  <conditionalFormatting sqref="K41:IV43">
    <cfRule type="cellIs" dxfId="88" priority="74" stopIfTrue="1" operator="equal">
      <formula>0</formula>
    </cfRule>
  </conditionalFormatting>
  <conditionalFormatting sqref="A41:A43">
    <cfRule type="cellIs" dxfId="87" priority="73" stopIfTrue="1" operator="equal">
      <formula>0</formula>
    </cfRule>
  </conditionalFormatting>
  <conditionalFormatting sqref="I41 F41 I42:J43 F43 C42">
    <cfRule type="cellIs" dxfId="86" priority="72" stopIfTrue="1" operator="equal">
      <formula>0</formula>
    </cfRule>
  </conditionalFormatting>
  <conditionalFormatting sqref="B43">
    <cfRule type="cellIs" dxfId="85" priority="71" stopIfTrue="1" operator="equal">
      <formula>0</formula>
    </cfRule>
  </conditionalFormatting>
  <conditionalFormatting sqref="J41">
    <cfRule type="cellIs" dxfId="84" priority="67" stopIfTrue="1" operator="equal">
      <formula>0</formula>
    </cfRule>
  </conditionalFormatting>
  <conditionalFormatting sqref="B41">
    <cfRule type="cellIs" dxfId="83" priority="70" stopIfTrue="1" operator="equal">
      <formula>0</formula>
    </cfRule>
  </conditionalFormatting>
  <conditionalFormatting sqref="G41">
    <cfRule type="cellIs" dxfId="82" priority="69" stopIfTrue="1" operator="equal">
      <formula>0</formula>
    </cfRule>
  </conditionalFormatting>
  <conditionalFormatting sqref="G43">
    <cfRule type="cellIs" dxfId="81" priority="68" stopIfTrue="1" operator="equal">
      <formula>0</formula>
    </cfRule>
  </conditionalFormatting>
  <conditionalFormatting sqref="F42">
    <cfRule type="cellIs" dxfId="80" priority="64" stopIfTrue="1" operator="equal">
      <formula>0</formula>
    </cfRule>
  </conditionalFormatting>
  <conditionalFormatting sqref="H42">
    <cfRule type="cellIs" dxfId="79" priority="66" stopIfTrue="1" operator="equal">
      <formula>0</formula>
    </cfRule>
  </conditionalFormatting>
  <conditionalFormatting sqref="G42">
    <cfRule type="cellIs" dxfId="78" priority="65" stopIfTrue="1" operator="equal">
      <formula>0</formula>
    </cfRule>
  </conditionalFormatting>
  <conditionalFormatting sqref="E42">
    <cfRule type="cellIs" dxfId="77" priority="63" stopIfTrue="1" operator="equal">
      <formula>0</formula>
    </cfRule>
  </conditionalFormatting>
  <conditionalFormatting sqref="D42">
    <cfRule type="cellIs" dxfId="76" priority="62" stopIfTrue="1" operator="equal">
      <formula>0</formula>
    </cfRule>
  </conditionalFormatting>
  <conditionalFormatting sqref="B42">
    <cfRule type="cellIs" dxfId="75" priority="61" stopIfTrue="1" operator="equal">
      <formula>0</formula>
    </cfRule>
  </conditionalFormatting>
  <conditionalFormatting sqref="K49:IV51">
    <cfRule type="cellIs" dxfId="74" priority="60" stopIfTrue="1" operator="equal">
      <formula>0</formula>
    </cfRule>
  </conditionalFormatting>
  <conditionalFormatting sqref="A49:A51">
    <cfRule type="cellIs" dxfId="73" priority="59" stopIfTrue="1" operator="equal">
      <formula>0</formula>
    </cfRule>
  </conditionalFormatting>
  <conditionalFormatting sqref="I49 F49 I50:J51 F51 C50">
    <cfRule type="cellIs" dxfId="72" priority="58" stopIfTrue="1" operator="equal">
      <formula>0</formula>
    </cfRule>
  </conditionalFormatting>
  <conditionalFormatting sqref="B51">
    <cfRule type="cellIs" dxfId="71" priority="57" stopIfTrue="1" operator="equal">
      <formula>0</formula>
    </cfRule>
  </conditionalFormatting>
  <conditionalFormatting sqref="J49">
    <cfRule type="cellIs" dxfId="70" priority="53" stopIfTrue="1" operator="equal">
      <formula>0</formula>
    </cfRule>
  </conditionalFormatting>
  <conditionalFormatting sqref="B49">
    <cfRule type="cellIs" dxfId="69" priority="56" stopIfTrue="1" operator="equal">
      <formula>0</formula>
    </cfRule>
  </conditionalFormatting>
  <conditionalFormatting sqref="G49">
    <cfRule type="cellIs" dxfId="68" priority="55" stopIfTrue="1" operator="equal">
      <formula>0</formula>
    </cfRule>
  </conditionalFormatting>
  <conditionalFormatting sqref="G51">
    <cfRule type="cellIs" dxfId="67" priority="54" stopIfTrue="1" operator="equal">
      <formula>0</formula>
    </cfRule>
  </conditionalFormatting>
  <conditionalFormatting sqref="F50">
    <cfRule type="cellIs" dxfId="66" priority="50" stopIfTrue="1" operator="equal">
      <formula>0</formula>
    </cfRule>
  </conditionalFormatting>
  <conditionalFormatting sqref="G50">
    <cfRule type="cellIs" dxfId="65" priority="51" stopIfTrue="1" operator="equal">
      <formula>0</formula>
    </cfRule>
  </conditionalFormatting>
  <conditionalFormatting sqref="E50">
    <cfRule type="cellIs" dxfId="64" priority="49" stopIfTrue="1" operator="equal">
      <formula>0</formula>
    </cfRule>
  </conditionalFormatting>
  <conditionalFormatting sqref="D50">
    <cfRule type="cellIs" dxfId="63" priority="48" stopIfTrue="1" operator="equal">
      <formula>0</formula>
    </cfRule>
  </conditionalFormatting>
  <conditionalFormatting sqref="B50">
    <cfRule type="cellIs" dxfId="62" priority="47" stopIfTrue="1" operator="equal">
      <formula>0</formula>
    </cfRule>
  </conditionalFormatting>
  <conditionalFormatting sqref="K57:IV59">
    <cfRule type="cellIs" dxfId="61" priority="46" stopIfTrue="1" operator="equal">
      <formula>0</formula>
    </cfRule>
  </conditionalFormatting>
  <conditionalFormatting sqref="A57:A59">
    <cfRule type="cellIs" dxfId="60" priority="45" stopIfTrue="1" operator="equal">
      <formula>0</formula>
    </cfRule>
  </conditionalFormatting>
  <conditionalFormatting sqref="I57 F57 I58:J59 F59 C58">
    <cfRule type="cellIs" dxfId="59" priority="44" stopIfTrue="1" operator="equal">
      <formula>0</formula>
    </cfRule>
  </conditionalFormatting>
  <conditionalFormatting sqref="B59">
    <cfRule type="cellIs" dxfId="58" priority="43" stopIfTrue="1" operator="equal">
      <formula>0</formula>
    </cfRule>
  </conditionalFormatting>
  <conditionalFormatting sqref="J57">
    <cfRule type="cellIs" dxfId="57" priority="39" stopIfTrue="1" operator="equal">
      <formula>0</formula>
    </cfRule>
  </conditionalFormatting>
  <conditionalFormatting sqref="G57">
    <cfRule type="cellIs" dxfId="56" priority="41" stopIfTrue="1" operator="equal">
      <formula>0</formula>
    </cfRule>
  </conditionalFormatting>
  <conditionalFormatting sqref="G59">
    <cfRule type="cellIs" dxfId="55" priority="40" stopIfTrue="1" operator="equal">
      <formula>0</formula>
    </cfRule>
  </conditionalFormatting>
  <conditionalFormatting sqref="F58">
    <cfRule type="cellIs" dxfId="54" priority="36" stopIfTrue="1" operator="equal">
      <formula>0</formula>
    </cfRule>
  </conditionalFormatting>
  <conditionalFormatting sqref="G58">
    <cfRule type="cellIs" dxfId="53" priority="37" stopIfTrue="1" operator="equal">
      <formula>0</formula>
    </cfRule>
  </conditionalFormatting>
  <conditionalFormatting sqref="E58">
    <cfRule type="cellIs" dxfId="52" priority="35" stopIfTrue="1" operator="equal">
      <formula>0</formula>
    </cfRule>
  </conditionalFormatting>
  <conditionalFormatting sqref="D58">
    <cfRule type="cellIs" dxfId="51" priority="34" stopIfTrue="1" operator="equal">
      <formula>0</formula>
    </cfRule>
  </conditionalFormatting>
  <conditionalFormatting sqref="B58">
    <cfRule type="cellIs" dxfId="50" priority="33" stopIfTrue="1" operator="equal">
      <formula>0</formula>
    </cfRule>
  </conditionalFormatting>
  <conditionalFormatting sqref="H26">
    <cfRule type="cellIs" dxfId="49" priority="32" stopIfTrue="1" operator="equal">
      <formula>0</formula>
    </cfRule>
  </conditionalFormatting>
  <conditionalFormatting sqref="H34">
    <cfRule type="cellIs" dxfId="48" priority="31" stopIfTrue="1" operator="equal">
      <formula>0</formula>
    </cfRule>
  </conditionalFormatting>
  <conditionalFormatting sqref="H50">
    <cfRule type="cellIs" dxfId="47" priority="30" stopIfTrue="1" operator="equal">
      <formula>0</formula>
    </cfRule>
  </conditionalFormatting>
  <conditionalFormatting sqref="H58">
    <cfRule type="cellIs" dxfId="46" priority="29" stopIfTrue="1" operator="equal">
      <formula>0</formula>
    </cfRule>
  </conditionalFormatting>
  <conditionalFormatting sqref="H66">
    <cfRule type="cellIs" dxfId="45" priority="28" stopIfTrue="1" operator="equal">
      <formula>0</formula>
    </cfRule>
  </conditionalFormatting>
  <conditionalFormatting sqref="H74">
    <cfRule type="cellIs" dxfId="44" priority="27" stopIfTrue="1" operator="equal">
      <formula>0</formula>
    </cfRule>
  </conditionalFormatting>
  <conditionalFormatting sqref="H82">
    <cfRule type="cellIs" dxfId="43" priority="26" stopIfTrue="1" operator="equal">
      <formula>0</formula>
    </cfRule>
  </conditionalFormatting>
  <conditionalFormatting sqref="H90">
    <cfRule type="cellIs" dxfId="42" priority="25" stopIfTrue="1" operator="equal">
      <formula>0</formula>
    </cfRule>
  </conditionalFormatting>
  <conditionalFormatting sqref="H98">
    <cfRule type="cellIs" dxfId="41" priority="24" stopIfTrue="1" operator="equal">
      <formula>0</formula>
    </cfRule>
  </conditionalFormatting>
  <conditionalFormatting sqref="H106">
    <cfRule type="cellIs" dxfId="40" priority="23" stopIfTrue="1" operator="equal">
      <formula>0</formula>
    </cfRule>
  </conditionalFormatting>
  <conditionalFormatting sqref="H114">
    <cfRule type="cellIs" dxfId="39" priority="22" stopIfTrue="1" operator="equal">
      <formula>0</formula>
    </cfRule>
  </conditionalFormatting>
  <conditionalFormatting sqref="H122">
    <cfRule type="cellIs" dxfId="38" priority="21" stopIfTrue="1" operator="equal">
      <formula>0</formula>
    </cfRule>
  </conditionalFormatting>
  <conditionalFormatting sqref="B107">
    <cfRule type="cellIs" dxfId="37" priority="18" stopIfTrue="1" operator="equal">
      <formula>0</formula>
    </cfRule>
  </conditionalFormatting>
  <conditionalFormatting sqref="B57">
    <cfRule type="cellIs" dxfId="36" priority="1" stopIfTrue="1" operator="equal">
      <formula>0</formula>
    </cfRule>
  </conditionalFormatting>
  <pageMargins left="0.25" right="0.25" top="0.75" bottom="0.75" header="0.3" footer="0.3"/>
  <pageSetup paperSize="9" scale="58" fitToHeight="0" orientation="portrait" horizontalDpi="300" verticalDpi="300" r:id="rId1"/>
  <headerFooter alignWithMargins="0"/>
  <rowBreaks count="3" manualBreakCount="3">
    <brk id="40" max="16383" man="1"/>
    <brk id="80" max="16383" man="1"/>
    <brk id="120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Q82"/>
  <sheetViews>
    <sheetView zoomScale="90" zoomScaleNormal="90" workbookViewId="0">
      <selection activeCell="O1" sqref="O1"/>
    </sheetView>
  </sheetViews>
  <sheetFormatPr baseColWidth="10" defaultColWidth="11.42578125" defaultRowHeight="12.75" x14ac:dyDescent="0.2"/>
  <cols>
    <col min="1" max="16384" width="11.42578125" style="31"/>
  </cols>
  <sheetData>
    <row r="1" spans="1:17" ht="35.25" thickBot="1" x14ac:dyDescent="0.5">
      <c r="A1" s="506" t="s">
        <v>425</v>
      </c>
      <c r="B1" s="507"/>
      <c r="C1" s="507"/>
      <c r="D1" s="507"/>
      <c r="E1" s="507"/>
      <c r="F1" s="507"/>
      <c r="G1" s="507"/>
      <c r="H1" s="507"/>
      <c r="I1" s="507"/>
      <c r="J1" s="507"/>
      <c r="K1" s="507"/>
      <c r="L1" s="507"/>
      <c r="M1" s="508"/>
    </row>
    <row r="2" spans="1:17" ht="18.75" customHeight="1" thickBot="1" x14ac:dyDescent="0.35">
      <c r="A2" s="509" t="s">
        <v>431</v>
      </c>
      <c r="B2" s="510"/>
      <c r="C2" s="510"/>
      <c r="D2" s="510"/>
      <c r="E2" s="510"/>
      <c r="F2" s="510"/>
      <c r="G2" s="510"/>
      <c r="H2" s="510"/>
      <c r="I2" s="510"/>
      <c r="J2" s="510"/>
      <c r="K2" s="510"/>
      <c r="L2" s="510"/>
      <c r="M2" s="511"/>
    </row>
    <row r="3" spans="1:17" ht="33" customHeight="1" thickBot="1" x14ac:dyDescent="0.3">
      <c r="A3" s="101"/>
      <c r="B3" s="99" t="s">
        <v>71</v>
      </c>
      <c r="C3" s="102"/>
      <c r="D3" s="102"/>
      <c r="E3" s="40"/>
      <c r="F3" s="40"/>
      <c r="G3" s="40"/>
      <c r="H3" s="40"/>
      <c r="I3" s="102"/>
      <c r="J3" s="102"/>
      <c r="K3" s="102"/>
      <c r="L3" s="102"/>
      <c r="M3" s="40"/>
    </row>
    <row r="4" spans="1:17" ht="19.5" thickBot="1" x14ac:dyDescent="0.35">
      <c r="A4" s="500" t="s">
        <v>95</v>
      </c>
      <c r="B4" s="501"/>
      <c r="C4" s="501"/>
      <c r="D4" s="501"/>
      <c r="E4" s="501"/>
      <c r="F4" s="501"/>
      <c r="G4" s="501"/>
      <c r="H4" s="502"/>
      <c r="J4" s="500" t="s">
        <v>96</v>
      </c>
      <c r="K4" s="501"/>
      <c r="L4" s="501"/>
      <c r="M4" s="501"/>
      <c r="N4" s="501"/>
      <c r="O4" s="501"/>
      <c r="P4" s="501"/>
      <c r="Q4" s="502"/>
    </row>
    <row r="5" spans="1:17" ht="15" thickBot="1" x14ac:dyDescent="0.25">
      <c r="A5" s="170" t="s">
        <v>51</v>
      </c>
      <c r="B5" s="125" t="s">
        <v>101</v>
      </c>
      <c r="C5" s="144" t="s">
        <v>102</v>
      </c>
      <c r="D5" s="144" t="s">
        <v>103</v>
      </c>
      <c r="E5" s="117" t="s">
        <v>115</v>
      </c>
      <c r="F5" s="126" t="s">
        <v>116</v>
      </c>
      <c r="G5" s="117" t="s">
        <v>73</v>
      </c>
      <c r="H5" s="127" t="s">
        <v>74</v>
      </c>
      <c r="I5" s="122"/>
      <c r="J5" s="172" t="s">
        <v>51</v>
      </c>
      <c r="K5" s="125" t="s">
        <v>101</v>
      </c>
      <c r="L5" s="144" t="s">
        <v>102</v>
      </c>
      <c r="M5" s="144" t="s">
        <v>103</v>
      </c>
      <c r="N5" s="117" t="s">
        <v>115</v>
      </c>
      <c r="O5" s="126" t="s">
        <v>116</v>
      </c>
      <c r="P5" s="117" t="s">
        <v>73</v>
      </c>
      <c r="Q5" s="127" t="s">
        <v>74</v>
      </c>
    </row>
    <row r="6" spans="1:17" ht="14.25" x14ac:dyDescent="0.2">
      <c r="A6" s="171">
        <v>53</v>
      </c>
      <c r="B6" s="221">
        <v>145</v>
      </c>
      <c r="C6" s="130">
        <v>195</v>
      </c>
      <c r="D6" s="130">
        <v>245</v>
      </c>
      <c r="E6" s="130">
        <v>272.5</v>
      </c>
      <c r="F6" s="130">
        <v>320</v>
      </c>
      <c r="G6" s="130">
        <v>450</v>
      </c>
      <c r="H6" s="133">
        <v>460</v>
      </c>
      <c r="I6" s="115"/>
      <c r="J6" s="171">
        <v>43</v>
      </c>
      <c r="K6" s="221">
        <v>80</v>
      </c>
      <c r="L6" s="130">
        <v>102.5</v>
      </c>
      <c r="M6" s="130">
        <v>125</v>
      </c>
      <c r="N6" s="130">
        <v>147.5</v>
      </c>
      <c r="O6" s="130">
        <v>190</v>
      </c>
      <c r="P6" s="130">
        <v>240</v>
      </c>
      <c r="Q6" s="133">
        <v>245</v>
      </c>
    </row>
    <row r="7" spans="1:17" ht="14.25" x14ac:dyDescent="0.2">
      <c r="A7" s="51">
        <v>59</v>
      </c>
      <c r="B7" s="222">
        <v>170</v>
      </c>
      <c r="C7" s="46">
        <v>220</v>
      </c>
      <c r="D7" s="46">
        <v>290</v>
      </c>
      <c r="E7" s="46">
        <v>320</v>
      </c>
      <c r="F7" s="46">
        <v>380</v>
      </c>
      <c r="G7" s="46">
        <v>490</v>
      </c>
      <c r="H7" s="134">
        <v>500</v>
      </c>
      <c r="I7" s="115"/>
      <c r="J7" s="51">
        <v>47</v>
      </c>
      <c r="K7" s="222">
        <v>100</v>
      </c>
      <c r="L7" s="46">
        <v>122.5</v>
      </c>
      <c r="M7" s="46">
        <v>145</v>
      </c>
      <c r="N7" s="46">
        <v>167.5</v>
      </c>
      <c r="O7" s="46">
        <v>210</v>
      </c>
      <c r="P7" s="46">
        <v>300</v>
      </c>
      <c r="Q7" s="134">
        <v>305</v>
      </c>
    </row>
    <row r="8" spans="1:17" ht="14.25" x14ac:dyDescent="0.2">
      <c r="A8" s="51">
        <v>66</v>
      </c>
      <c r="B8" s="222">
        <v>235</v>
      </c>
      <c r="C8" s="46">
        <v>285</v>
      </c>
      <c r="D8" s="46">
        <v>355</v>
      </c>
      <c r="E8" s="46">
        <v>387.5</v>
      </c>
      <c r="F8" s="46">
        <v>470</v>
      </c>
      <c r="G8" s="46">
        <v>550</v>
      </c>
      <c r="H8" s="134">
        <v>560</v>
      </c>
      <c r="I8" s="115"/>
      <c r="J8" s="51">
        <v>52</v>
      </c>
      <c r="K8" s="222">
        <v>110</v>
      </c>
      <c r="L8" s="46">
        <v>135</v>
      </c>
      <c r="M8" s="46">
        <v>160</v>
      </c>
      <c r="N8" s="46">
        <v>185</v>
      </c>
      <c r="O8" s="46">
        <v>240</v>
      </c>
      <c r="P8" s="46">
        <v>345</v>
      </c>
      <c r="Q8" s="134">
        <v>352.5</v>
      </c>
    </row>
    <row r="9" spans="1:17" ht="14.25" x14ac:dyDescent="0.2">
      <c r="A9" s="51">
        <v>74</v>
      </c>
      <c r="B9" s="222">
        <v>285</v>
      </c>
      <c r="C9" s="46">
        <v>335</v>
      </c>
      <c r="D9" s="46">
        <v>405</v>
      </c>
      <c r="E9" s="46">
        <v>442.5</v>
      </c>
      <c r="F9" s="46">
        <v>515</v>
      </c>
      <c r="G9" s="46">
        <v>597.5</v>
      </c>
      <c r="H9" s="134">
        <v>610</v>
      </c>
      <c r="I9" s="115"/>
      <c r="J9" s="51">
        <v>57</v>
      </c>
      <c r="K9" s="222">
        <v>120</v>
      </c>
      <c r="L9" s="46">
        <v>147.5</v>
      </c>
      <c r="M9" s="46">
        <v>175</v>
      </c>
      <c r="N9" s="46">
        <v>202.5</v>
      </c>
      <c r="O9" s="46">
        <v>265</v>
      </c>
      <c r="P9" s="46">
        <v>395</v>
      </c>
      <c r="Q9" s="134">
        <v>402.5</v>
      </c>
    </row>
    <row r="10" spans="1:17" ht="14.25" x14ac:dyDescent="0.2">
      <c r="A10" s="51">
        <v>83</v>
      </c>
      <c r="B10" s="222">
        <v>335</v>
      </c>
      <c r="C10" s="46">
        <v>385</v>
      </c>
      <c r="D10" s="46">
        <v>455</v>
      </c>
      <c r="E10" s="46">
        <v>492.5</v>
      </c>
      <c r="F10" s="46">
        <v>535</v>
      </c>
      <c r="G10" s="46">
        <v>647.5</v>
      </c>
      <c r="H10" s="134">
        <v>660</v>
      </c>
      <c r="I10" s="115"/>
      <c r="J10" s="51">
        <v>63</v>
      </c>
      <c r="K10" s="222">
        <v>125</v>
      </c>
      <c r="L10" s="46">
        <v>152.5</v>
      </c>
      <c r="M10" s="46">
        <v>180</v>
      </c>
      <c r="N10" s="46">
        <v>207.5</v>
      </c>
      <c r="O10" s="46">
        <v>285</v>
      </c>
      <c r="P10" s="46">
        <v>430</v>
      </c>
      <c r="Q10" s="134">
        <v>440</v>
      </c>
    </row>
    <row r="11" spans="1:17" ht="14.25" x14ac:dyDescent="0.2">
      <c r="A11" s="51">
        <v>93</v>
      </c>
      <c r="B11" s="222">
        <v>315</v>
      </c>
      <c r="C11" s="46">
        <v>365</v>
      </c>
      <c r="D11" s="46">
        <v>465</v>
      </c>
      <c r="E11" s="46">
        <v>502.5</v>
      </c>
      <c r="F11" s="46">
        <v>545</v>
      </c>
      <c r="G11" s="46">
        <v>667.5</v>
      </c>
      <c r="H11" s="134">
        <v>680</v>
      </c>
      <c r="I11" s="115"/>
      <c r="J11" s="51">
        <v>69</v>
      </c>
      <c r="K11" s="222">
        <v>140</v>
      </c>
      <c r="L11" s="46">
        <v>167.5</v>
      </c>
      <c r="M11" s="46">
        <v>195</v>
      </c>
      <c r="N11" s="46">
        <v>222.5</v>
      </c>
      <c r="O11" s="46">
        <v>300</v>
      </c>
      <c r="P11" s="46">
        <v>440</v>
      </c>
      <c r="Q11" s="134">
        <v>450</v>
      </c>
    </row>
    <row r="12" spans="1:17" ht="14.25" x14ac:dyDescent="0.2">
      <c r="A12" s="51">
        <v>105</v>
      </c>
      <c r="B12" s="222">
        <v>325</v>
      </c>
      <c r="C12" s="46">
        <v>375</v>
      </c>
      <c r="D12" s="46">
        <v>475</v>
      </c>
      <c r="E12" s="46">
        <v>512.5</v>
      </c>
      <c r="F12" s="46">
        <v>560</v>
      </c>
      <c r="G12" s="46">
        <v>685</v>
      </c>
      <c r="H12" s="134">
        <v>700</v>
      </c>
      <c r="I12" s="115"/>
      <c r="J12" s="51">
        <v>76</v>
      </c>
      <c r="K12" s="222">
        <v>160</v>
      </c>
      <c r="L12" s="46">
        <v>187.5</v>
      </c>
      <c r="M12" s="46">
        <v>215</v>
      </c>
      <c r="N12" s="46">
        <v>242.5</v>
      </c>
      <c r="O12" s="46">
        <v>315</v>
      </c>
      <c r="P12" s="46">
        <v>450</v>
      </c>
      <c r="Q12" s="134">
        <v>460</v>
      </c>
    </row>
    <row r="13" spans="1:17" ht="14.25" x14ac:dyDescent="0.2">
      <c r="A13" s="51">
        <v>120</v>
      </c>
      <c r="B13" s="222">
        <v>335</v>
      </c>
      <c r="C13" s="46">
        <v>385</v>
      </c>
      <c r="D13" s="46">
        <v>485</v>
      </c>
      <c r="E13" s="46">
        <v>522.5</v>
      </c>
      <c r="F13" s="46">
        <v>580</v>
      </c>
      <c r="G13" s="46">
        <v>705</v>
      </c>
      <c r="H13" s="134">
        <v>720</v>
      </c>
      <c r="I13" s="115"/>
      <c r="J13" s="51">
        <v>84</v>
      </c>
      <c r="K13" s="222">
        <v>175</v>
      </c>
      <c r="L13" s="46">
        <v>202.5</v>
      </c>
      <c r="M13" s="46">
        <v>230</v>
      </c>
      <c r="N13" s="46">
        <v>257.5</v>
      </c>
      <c r="O13" s="46">
        <v>320</v>
      </c>
      <c r="P13" s="46">
        <v>460</v>
      </c>
      <c r="Q13" s="134">
        <v>470</v>
      </c>
    </row>
    <row r="14" spans="1:17" ht="15" thickBot="1" x14ac:dyDescent="0.25">
      <c r="A14" s="129" t="s">
        <v>53</v>
      </c>
      <c r="B14" s="224">
        <v>355</v>
      </c>
      <c r="C14" s="48">
        <v>405</v>
      </c>
      <c r="D14" s="48">
        <v>505</v>
      </c>
      <c r="E14" s="48">
        <v>542.5</v>
      </c>
      <c r="F14" s="166">
        <v>590</v>
      </c>
      <c r="G14" s="48">
        <v>725</v>
      </c>
      <c r="H14" s="135">
        <v>740</v>
      </c>
      <c r="I14" s="115"/>
      <c r="J14" s="129" t="s">
        <v>52</v>
      </c>
      <c r="K14" s="224">
        <v>190</v>
      </c>
      <c r="L14" s="48">
        <v>217.5</v>
      </c>
      <c r="M14" s="48">
        <v>245</v>
      </c>
      <c r="N14" s="48">
        <v>272.5</v>
      </c>
      <c r="O14" s="166">
        <v>340</v>
      </c>
      <c r="P14" s="48">
        <v>470</v>
      </c>
      <c r="Q14" s="135">
        <v>480</v>
      </c>
    </row>
    <row r="15" spans="1:17" ht="16.5" thickBot="1" x14ac:dyDescent="0.3">
      <c r="A15" s="44"/>
      <c r="B15" s="128" t="s">
        <v>71</v>
      </c>
      <c r="C15" s="44"/>
      <c r="D15" s="44"/>
      <c r="E15" s="44"/>
      <c r="F15" s="44"/>
      <c r="G15" s="44"/>
      <c r="I15" s="45"/>
      <c r="J15" s="45"/>
      <c r="K15" s="45"/>
      <c r="L15" s="45"/>
      <c r="M15" s="45"/>
    </row>
    <row r="16" spans="1:17" ht="19.5" thickBot="1" x14ac:dyDescent="0.35">
      <c r="A16" s="500" t="s">
        <v>82</v>
      </c>
      <c r="B16" s="501"/>
      <c r="C16" s="501"/>
      <c r="D16" s="501"/>
      <c r="E16" s="501"/>
      <c r="F16" s="501"/>
      <c r="G16" s="501"/>
      <c r="H16" s="502"/>
      <c r="J16" s="500" t="s">
        <v>84</v>
      </c>
      <c r="K16" s="501"/>
      <c r="L16" s="501"/>
      <c r="M16" s="501"/>
      <c r="N16" s="501"/>
      <c r="O16" s="501"/>
      <c r="P16" s="501"/>
      <c r="Q16" s="502"/>
    </row>
    <row r="17" spans="1:17" ht="15" thickBot="1" x14ac:dyDescent="0.25">
      <c r="A17" s="170" t="s">
        <v>51</v>
      </c>
      <c r="B17" s="125" t="s">
        <v>101</v>
      </c>
      <c r="C17" s="144" t="s">
        <v>102</v>
      </c>
      <c r="D17" s="144" t="s">
        <v>103</v>
      </c>
      <c r="E17" s="117" t="s">
        <v>117</v>
      </c>
      <c r="F17" s="117" t="s">
        <v>116</v>
      </c>
      <c r="G17" s="117" t="s">
        <v>73</v>
      </c>
      <c r="H17" s="118" t="s">
        <v>74</v>
      </c>
      <c r="I17" s="122"/>
      <c r="J17" s="172" t="s">
        <v>51</v>
      </c>
      <c r="K17" s="125" t="s">
        <v>101</v>
      </c>
      <c r="L17" s="144" t="s">
        <v>102</v>
      </c>
      <c r="M17" s="144" t="s">
        <v>103</v>
      </c>
      <c r="N17" s="117" t="s">
        <v>115</v>
      </c>
      <c r="O17" s="126" t="s">
        <v>116</v>
      </c>
      <c r="P17" s="117" t="s">
        <v>73</v>
      </c>
      <c r="Q17" s="127" t="s">
        <v>74</v>
      </c>
    </row>
    <row r="18" spans="1:17" ht="14.25" customHeight="1" x14ac:dyDescent="0.2">
      <c r="A18" s="171">
        <v>53</v>
      </c>
      <c r="B18" s="221">
        <v>200</v>
      </c>
      <c r="C18" s="130">
        <v>250</v>
      </c>
      <c r="D18" s="130">
        <v>300</v>
      </c>
      <c r="E18" s="130">
        <v>362.5</v>
      </c>
      <c r="F18" s="130">
        <v>400</v>
      </c>
      <c r="G18" s="173">
        <v>470</v>
      </c>
      <c r="H18" s="131">
        <v>480</v>
      </c>
      <c r="I18" s="115"/>
      <c r="J18" s="171">
        <v>43</v>
      </c>
      <c r="K18" s="221">
        <v>125</v>
      </c>
      <c r="L18" s="130">
        <v>145</v>
      </c>
      <c r="M18" s="130">
        <v>165</v>
      </c>
      <c r="N18" s="130">
        <v>187.5</v>
      </c>
      <c r="O18" s="130">
        <v>230</v>
      </c>
      <c r="P18" s="173">
        <v>245</v>
      </c>
      <c r="Q18" s="131">
        <v>250</v>
      </c>
    </row>
    <row r="19" spans="1:17" ht="14.25" x14ac:dyDescent="0.2">
      <c r="A19" s="51">
        <v>59</v>
      </c>
      <c r="B19" s="222">
        <v>215</v>
      </c>
      <c r="C19" s="46">
        <v>265</v>
      </c>
      <c r="D19" s="46">
        <v>335</v>
      </c>
      <c r="E19" s="46">
        <v>420</v>
      </c>
      <c r="F19" s="46">
        <v>480</v>
      </c>
      <c r="G19" s="164">
        <v>535</v>
      </c>
      <c r="H19" s="47">
        <v>545</v>
      </c>
      <c r="I19" s="115"/>
      <c r="J19" s="51">
        <v>47</v>
      </c>
      <c r="K19" s="222">
        <v>140</v>
      </c>
      <c r="L19" s="46">
        <v>160</v>
      </c>
      <c r="M19" s="46">
        <v>180</v>
      </c>
      <c r="N19" s="46">
        <v>207.5</v>
      </c>
      <c r="O19" s="46">
        <v>285</v>
      </c>
      <c r="P19" s="164">
        <v>337.5</v>
      </c>
      <c r="Q19" s="47">
        <v>345</v>
      </c>
    </row>
    <row r="20" spans="1:17" ht="14.25" x14ac:dyDescent="0.2">
      <c r="A20" s="51">
        <v>66</v>
      </c>
      <c r="B20" s="222">
        <v>295</v>
      </c>
      <c r="C20" s="46">
        <v>345</v>
      </c>
      <c r="D20" s="46">
        <v>415</v>
      </c>
      <c r="E20" s="46">
        <v>497.5</v>
      </c>
      <c r="F20" s="46">
        <v>557.5</v>
      </c>
      <c r="G20" s="164">
        <v>607.5</v>
      </c>
      <c r="H20" s="47">
        <v>620</v>
      </c>
      <c r="I20" s="115"/>
      <c r="J20" s="51">
        <v>52</v>
      </c>
      <c r="K20" s="222">
        <v>190</v>
      </c>
      <c r="L20" s="46">
        <v>210</v>
      </c>
      <c r="M20" s="46">
        <v>230</v>
      </c>
      <c r="N20" s="46">
        <v>255</v>
      </c>
      <c r="O20" s="46">
        <v>335</v>
      </c>
      <c r="P20" s="164">
        <v>362.5</v>
      </c>
      <c r="Q20" s="47">
        <v>370</v>
      </c>
    </row>
    <row r="21" spans="1:17" ht="14.25" x14ac:dyDescent="0.2">
      <c r="A21" s="51">
        <v>74</v>
      </c>
      <c r="B21" s="222">
        <v>360</v>
      </c>
      <c r="C21" s="46">
        <v>410</v>
      </c>
      <c r="D21" s="46">
        <v>480</v>
      </c>
      <c r="E21" s="46">
        <v>562.5</v>
      </c>
      <c r="F21" s="46">
        <v>650</v>
      </c>
      <c r="G21" s="164">
        <v>680</v>
      </c>
      <c r="H21" s="47">
        <v>695</v>
      </c>
      <c r="I21" s="115"/>
      <c r="J21" s="51">
        <v>57</v>
      </c>
      <c r="K21" s="222">
        <v>200</v>
      </c>
      <c r="L21" s="46">
        <v>230</v>
      </c>
      <c r="M21" s="46">
        <v>260</v>
      </c>
      <c r="N21" s="46">
        <v>302.5</v>
      </c>
      <c r="O21" s="46">
        <v>365</v>
      </c>
      <c r="P21" s="164">
        <v>427.5</v>
      </c>
      <c r="Q21" s="47">
        <v>435</v>
      </c>
    </row>
    <row r="22" spans="1:17" ht="14.25" x14ac:dyDescent="0.2">
      <c r="A22" s="51">
        <v>83</v>
      </c>
      <c r="B22" s="222">
        <v>410</v>
      </c>
      <c r="C22" s="46">
        <v>460</v>
      </c>
      <c r="D22" s="46">
        <v>530</v>
      </c>
      <c r="E22" s="46">
        <v>602.5</v>
      </c>
      <c r="F22" s="46">
        <v>680</v>
      </c>
      <c r="G22" s="164">
        <v>725</v>
      </c>
      <c r="H22" s="47">
        <v>740</v>
      </c>
      <c r="I22" s="115"/>
      <c r="J22" s="51">
        <v>63</v>
      </c>
      <c r="K22" s="222">
        <v>220</v>
      </c>
      <c r="L22" s="46">
        <v>250</v>
      </c>
      <c r="M22" s="46">
        <v>280</v>
      </c>
      <c r="N22" s="46">
        <v>322.5</v>
      </c>
      <c r="O22" s="46">
        <v>390</v>
      </c>
      <c r="P22" s="164">
        <v>445</v>
      </c>
      <c r="Q22" s="47">
        <v>455</v>
      </c>
    </row>
    <row r="23" spans="1:17" ht="14.25" x14ac:dyDescent="0.2">
      <c r="A23" s="51">
        <v>93</v>
      </c>
      <c r="B23" s="222">
        <v>397.5</v>
      </c>
      <c r="C23" s="46">
        <v>447.5</v>
      </c>
      <c r="D23" s="46">
        <v>547.5</v>
      </c>
      <c r="E23" s="46">
        <v>627.5</v>
      </c>
      <c r="F23" s="46">
        <v>695</v>
      </c>
      <c r="G23" s="164">
        <v>765</v>
      </c>
      <c r="H23" s="47">
        <v>780</v>
      </c>
      <c r="I23" s="115"/>
      <c r="J23" s="51">
        <v>69</v>
      </c>
      <c r="K23" s="222">
        <v>230</v>
      </c>
      <c r="L23" s="46">
        <v>260</v>
      </c>
      <c r="M23" s="46">
        <v>290</v>
      </c>
      <c r="N23" s="46">
        <v>332.5</v>
      </c>
      <c r="O23" s="46">
        <v>410</v>
      </c>
      <c r="P23" s="164">
        <v>455</v>
      </c>
      <c r="Q23" s="47">
        <v>465</v>
      </c>
    </row>
    <row r="24" spans="1:17" ht="14.25" x14ac:dyDescent="0.2">
      <c r="A24" s="51">
        <v>105</v>
      </c>
      <c r="B24" s="222">
        <v>420</v>
      </c>
      <c r="C24" s="46">
        <v>470</v>
      </c>
      <c r="D24" s="46">
        <v>570</v>
      </c>
      <c r="E24" s="46">
        <v>642.5</v>
      </c>
      <c r="F24" s="46">
        <v>707.5</v>
      </c>
      <c r="G24" s="164">
        <v>795</v>
      </c>
      <c r="H24" s="47">
        <v>810</v>
      </c>
      <c r="I24" s="115"/>
      <c r="J24" s="51">
        <v>76</v>
      </c>
      <c r="K24" s="222">
        <v>235</v>
      </c>
      <c r="L24" s="46">
        <v>265</v>
      </c>
      <c r="M24" s="46">
        <v>295</v>
      </c>
      <c r="N24" s="46">
        <v>342.5</v>
      </c>
      <c r="O24" s="46">
        <v>420</v>
      </c>
      <c r="P24" s="164">
        <v>470</v>
      </c>
      <c r="Q24" s="47">
        <v>480</v>
      </c>
    </row>
    <row r="25" spans="1:17" ht="14.25" x14ac:dyDescent="0.2">
      <c r="A25" s="51">
        <v>120</v>
      </c>
      <c r="B25" s="222">
        <v>427.5</v>
      </c>
      <c r="C25" s="46">
        <v>477.5</v>
      </c>
      <c r="D25" s="46">
        <v>577.5</v>
      </c>
      <c r="E25" s="46">
        <v>652.5</v>
      </c>
      <c r="F25" s="46">
        <v>715</v>
      </c>
      <c r="G25" s="164">
        <v>822.5</v>
      </c>
      <c r="H25" s="47">
        <v>840</v>
      </c>
      <c r="I25" s="115"/>
      <c r="J25" s="51">
        <v>84</v>
      </c>
      <c r="K25" s="222">
        <v>245</v>
      </c>
      <c r="L25" s="46">
        <v>275</v>
      </c>
      <c r="M25" s="46">
        <v>305</v>
      </c>
      <c r="N25" s="46">
        <v>352.5</v>
      </c>
      <c r="O25" s="46">
        <v>425</v>
      </c>
      <c r="P25" s="164">
        <v>490</v>
      </c>
      <c r="Q25" s="47">
        <v>500</v>
      </c>
    </row>
    <row r="26" spans="1:17" ht="15" thickBot="1" x14ac:dyDescent="0.25">
      <c r="A26" s="129" t="s">
        <v>53</v>
      </c>
      <c r="B26" s="224">
        <v>440</v>
      </c>
      <c r="C26" s="48">
        <v>490</v>
      </c>
      <c r="D26" s="48">
        <v>590</v>
      </c>
      <c r="E26" s="48">
        <v>662.5</v>
      </c>
      <c r="F26" s="48">
        <v>730</v>
      </c>
      <c r="G26" s="165">
        <v>832.5</v>
      </c>
      <c r="H26" s="49">
        <v>850</v>
      </c>
      <c r="I26" s="115"/>
      <c r="J26" s="129" t="s">
        <v>52</v>
      </c>
      <c r="K26" s="224">
        <v>250</v>
      </c>
      <c r="L26" s="48">
        <v>280</v>
      </c>
      <c r="M26" s="48">
        <v>310</v>
      </c>
      <c r="N26" s="48">
        <v>357.5</v>
      </c>
      <c r="O26" s="166">
        <v>430</v>
      </c>
      <c r="P26" s="167">
        <v>500</v>
      </c>
      <c r="Q26" s="168">
        <v>510</v>
      </c>
    </row>
    <row r="27" spans="1:17" ht="16.5" thickBot="1" x14ac:dyDescent="0.3">
      <c r="A27" s="44"/>
      <c r="B27" s="128" t="s">
        <v>71</v>
      </c>
      <c r="C27" s="44"/>
      <c r="D27" s="44"/>
      <c r="E27" s="44"/>
      <c r="F27" s="44"/>
      <c r="G27" s="44"/>
      <c r="H27" s="44"/>
      <c r="J27" s="44"/>
      <c r="K27" s="44"/>
      <c r="L27" s="44"/>
      <c r="M27" s="44"/>
      <c r="N27" s="44"/>
    </row>
    <row r="28" spans="1:17" ht="19.5" thickBot="1" x14ac:dyDescent="0.35">
      <c r="A28" s="503" t="s">
        <v>83</v>
      </c>
      <c r="B28" s="504"/>
      <c r="C28" s="504"/>
      <c r="D28" s="504"/>
      <c r="E28" s="504"/>
      <c r="F28" s="504"/>
      <c r="G28" s="504"/>
      <c r="H28" s="505"/>
      <c r="J28" s="500" t="s">
        <v>85</v>
      </c>
      <c r="K28" s="501"/>
      <c r="L28" s="501"/>
      <c r="M28" s="501"/>
      <c r="N28" s="501"/>
      <c r="O28" s="501"/>
      <c r="P28" s="501"/>
      <c r="Q28" s="502"/>
    </row>
    <row r="29" spans="1:17" ht="15" thickBot="1" x14ac:dyDescent="0.25">
      <c r="A29" s="41" t="s">
        <v>51</v>
      </c>
      <c r="B29" s="42" t="s">
        <v>101</v>
      </c>
      <c r="C29" s="42" t="s">
        <v>102</v>
      </c>
      <c r="D29" s="42" t="s">
        <v>103</v>
      </c>
      <c r="E29" s="42" t="s">
        <v>115</v>
      </c>
      <c r="F29" s="218" t="s">
        <v>116</v>
      </c>
      <c r="G29" s="218" t="s">
        <v>73</v>
      </c>
      <c r="H29" s="43" t="s">
        <v>74</v>
      </c>
      <c r="I29" s="122"/>
      <c r="J29" s="408" t="s">
        <v>51</v>
      </c>
      <c r="K29" s="42" t="s">
        <v>101</v>
      </c>
      <c r="L29" s="42" t="s">
        <v>102</v>
      </c>
      <c r="M29" s="42" t="s">
        <v>103</v>
      </c>
      <c r="N29" s="42" t="s">
        <v>115</v>
      </c>
      <c r="O29" s="218" t="s">
        <v>116</v>
      </c>
      <c r="P29" s="218" t="s">
        <v>73</v>
      </c>
      <c r="Q29" s="43" t="s">
        <v>74</v>
      </c>
    </row>
    <row r="30" spans="1:17" ht="14.25" customHeight="1" x14ac:dyDescent="0.2">
      <c r="A30" s="50">
        <v>59</v>
      </c>
      <c r="B30" s="221">
        <v>300</v>
      </c>
      <c r="C30" s="130">
        <v>350</v>
      </c>
      <c r="D30" s="130">
        <v>400</v>
      </c>
      <c r="E30" s="130">
        <v>450</v>
      </c>
      <c r="F30" s="173">
        <v>510</v>
      </c>
      <c r="G30" s="173">
        <v>552.5</v>
      </c>
      <c r="H30" s="131">
        <v>565</v>
      </c>
      <c r="I30" s="143"/>
      <c r="J30" s="51">
        <v>47</v>
      </c>
      <c r="K30" s="222">
        <v>172.5</v>
      </c>
      <c r="L30" s="46">
        <v>192.5</v>
      </c>
      <c r="M30" s="46">
        <v>222.5</v>
      </c>
      <c r="N30" s="46">
        <v>272.5</v>
      </c>
      <c r="O30" s="46">
        <v>310</v>
      </c>
      <c r="P30" s="46">
        <v>352.5</v>
      </c>
      <c r="Q30" s="47">
        <v>360</v>
      </c>
    </row>
    <row r="31" spans="1:17" ht="14.25" x14ac:dyDescent="0.2">
      <c r="A31" s="51">
        <v>66</v>
      </c>
      <c r="B31" s="222">
        <v>400</v>
      </c>
      <c r="C31" s="46">
        <v>450</v>
      </c>
      <c r="D31" s="46">
        <v>500</v>
      </c>
      <c r="E31" s="46">
        <v>550</v>
      </c>
      <c r="F31" s="164">
        <v>585</v>
      </c>
      <c r="G31" s="164">
        <v>627.5</v>
      </c>
      <c r="H31" s="47">
        <v>640</v>
      </c>
      <c r="I31" s="143"/>
      <c r="J31" s="51">
        <v>52</v>
      </c>
      <c r="K31" s="222">
        <v>225</v>
      </c>
      <c r="L31" s="46">
        <v>245</v>
      </c>
      <c r="M31" s="46">
        <v>275</v>
      </c>
      <c r="N31" s="46">
        <v>325</v>
      </c>
      <c r="O31" s="46">
        <v>360</v>
      </c>
      <c r="P31" s="46">
        <v>402.5</v>
      </c>
      <c r="Q31" s="47">
        <v>410</v>
      </c>
    </row>
    <row r="32" spans="1:17" ht="14.25" x14ac:dyDescent="0.2">
      <c r="A32" s="51">
        <v>74</v>
      </c>
      <c r="B32" s="222">
        <v>475</v>
      </c>
      <c r="C32" s="46">
        <v>525</v>
      </c>
      <c r="D32" s="46">
        <v>575</v>
      </c>
      <c r="E32" s="46">
        <v>625</v>
      </c>
      <c r="F32" s="164">
        <v>670</v>
      </c>
      <c r="G32" s="164">
        <v>705</v>
      </c>
      <c r="H32" s="47">
        <v>720</v>
      </c>
      <c r="I32" s="143"/>
      <c r="J32" s="51">
        <v>57</v>
      </c>
      <c r="K32" s="222">
        <v>235</v>
      </c>
      <c r="L32" s="46">
        <v>265</v>
      </c>
      <c r="M32" s="46">
        <v>305</v>
      </c>
      <c r="N32" s="46">
        <v>355</v>
      </c>
      <c r="O32" s="46">
        <v>385</v>
      </c>
      <c r="P32" s="46">
        <v>435</v>
      </c>
      <c r="Q32" s="47">
        <v>445</v>
      </c>
    </row>
    <row r="33" spans="1:17" ht="14.25" x14ac:dyDescent="0.2">
      <c r="A33" s="51">
        <v>83</v>
      </c>
      <c r="B33" s="222">
        <v>535</v>
      </c>
      <c r="C33" s="46">
        <v>585</v>
      </c>
      <c r="D33" s="46">
        <v>635</v>
      </c>
      <c r="E33" s="46">
        <v>685</v>
      </c>
      <c r="F33" s="164">
        <v>720</v>
      </c>
      <c r="G33" s="164">
        <v>755</v>
      </c>
      <c r="H33" s="47">
        <v>770</v>
      </c>
      <c r="I33" s="143"/>
      <c r="J33" s="51">
        <v>63</v>
      </c>
      <c r="K33" s="222">
        <v>250</v>
      </c>
      <c r="L33" s="46">
        <v>280</v>
      </c>
      <c r="M33" s="46">
        <v>320</v>
      </c>
      <c r="N33" s="46">
        <v>370</v>
      </c>
      <c r="O33" s="46">
        <v>415</v>
      </c>
      <c r="P33" s="46">
        <v>470</v>
      </c>
      <c r="Q33" s="47">
        <v>480</v>
      </c>
    </row>
    <row r="34" spans="1:17" ht="14.25" x14ac:dyDescent="0.2">
      <c r="A34" s="51">
        <v>93</v>
      </c>
      <c r="B34" s="222">
        <v>557.5</v>
      </c>
      <c r="C34" s="46">
        <v>607.5</v>
      </c>
      <c r="D34" s="46">
        <v>657.5</v>
      </c>
      <c r="E34" s="46">
        <v>707.5</v>
      </c>
      <c r="F34" s="164">
        <v>745</v>
      </c>
      <c r="G34" s="164">
        <v>802.5</v>
      </c>
      <c r="H34" s="47">
        <v>820</v>
      </c>
      <c r="I34" s="143"/>
      <c r="J34" s="51">
        <v>69</v>
      </c>
      <c r="K34" s="222">
        <v>265</v>
      </c>
      <c r="L34" s="46">
        <v>295</v>
      </c>
      <c r="M34" s="46">
        <v>335</v>
      </c>
      <c r="N34" s="46">
        <v>385</v>
      </c>
      <c r="O34" s="46">
        <v>425</v>
      </c>
      <c r="P34" s="46">
        <v>500</v>
      </c>
      <c r="Q34" s="47">
        <v>510</v>
      </c>
    </row>
    <row r="35" spans="1:17" ht="14.25" x14ac:dyDescent="0.2">
      <c r="A35" s="51">
        <v>105</v>
      </c>
      <c r="B35" s="222">
        <v>587.5</v>
      </c>
      <c r="C35" s="46">
        <v>637.5</v>
      </c>
      <c r="D35" s="46">
        <v>687.5</v>
      </c>
      <c r="E35" s="46">
        <v>727.5</v>
      </c>
      <c r="F35" s="410">
        <v>760</v>
      </c>
      <c r="G35" s="164">
        <v>842.5</v>
      </c>
      <c r="H35" s="47">
        <v>860</v>
      </c>
      <c r="I35" s="143"/>
      <c r="J35" s="51">
        <v>76</v>
      </c>
      <c r="K35" s="222">
        <v>270</v>
      </c>
      <c r="L35" s="46">
        <v>300</v>
      </c>
      <c r="M35" s="46">
        <v>340</v>
      </c>
      <c r="N35" s="46">
        <v>390</v>
      </c>
      <c r="O35" s="46">
        <v>430</v>
      </c>
      <c r="P35" s="46">
        <v>510</v>
      </c>
      <c r="Q35" s="47">
        <v>520</v>
      </c>
    </row>
    <row r="36" spans="1:17" ht="14.25" x14ac:dyDescent="0.2">
      <c r="A36" s="51">
        <v>120</v>
      </c>
      <c r="B36" s="222">
        <v>575</v>
      </c>
      <c r="C36" s="46">
        <v>625</v>
      </c>
      <c r="D36" s="46">
        <v>675</v>
      </c>
      <c r="E36" s="46">
        <v>735</v>
      </c>
      <c r="F36" s="410">
        <v>770</v>
      </c>
      <c r="G36" s="164">
        <v>862.5</v>
      </c>
      <c r="H36" s="47">
        <v>880</v>
      </c>
      <c r="I36" s="143"/>
      <c r="J36" s="51">
        <v>84</v>
      </c>
      <c r="K36" s="222">
        <v>280</v>
      </c>
      <c r="L36" s="46">
        <v>310</v>
      </c>
      <c r="M36" s="46">
        <v>350</v>
      </c>
      <c r="N36" s="46">
        <v>400</v>
      </c>
      <c r="O36" s="46">
        <v>435</v>
      </c>
      <c r="P36" s="46">
        <v>520</v>
      </c>
      <c r="Q36" s="47">
        <v>530</v>
      </c>
    </row>
    <row r="37" spans="1:17" ht="15" thickBot="1" x14ac:dyDescent="0.25">
      <c r="A37" s="129" t="s">
        <v>53</v>
      </c>
      <c r="B37" s="224">
        <v>620</v>
      </c>
      <c r="C37" s="48">
        <v>670</v>
      </c>
      <c r="D37" s="48">
        <v>720</v>
      </c>
      <c r="E37" s="48">
        <v>780</v>
      </c>
      <c r="F37" s="165">
        <v>800</v>
      </c>
      <c r="G37" s="165">
        <v>897.5</v>
      </c>
      <c r="H37" s="49">
        <v>915</v>
      </c>
      <c r="I37" s="143"/>
      <c r="J37" s="129" t="s">
        <v>52</v>
      </c>
      <c r="K37" s="409">
        <v>290</v>
      </c>
      <c r="L37" s="166">
        <v>320</v>
      </c>
      <c r="M37" s="166">
        <v>360</v>
      </c>
      <c r="N37" s="166">
        <v>410</v>
      </c>
      <c r="O37" s="166">
        <v>440</v>
      </c>
      <c r="P37" s="166">
        <v>587.5</v>
      </c>
      <c r="Q37" s="168">
        <v>600</v>
      </c>
    </row>
    <row r="38" spans="1:17" ht="16.5" thickBot="1" x14ac:dyDescent="0.3">
      <c r="A38" s="44"/>
      <c r="B38" s="128" t="s">
        <v>71</v>
      </c>
      <c r="C38" s="128" t="s">
        <v>71</v>
      </c>
      <c r="D38" s="44"/>
      <c r="E38" s="44"/>
      <c r="F38" s="44"/>
      <c r="G38" s="44"/>
      <c r="H38" s="44"/>
      <c r="I38" s="44"/>
      <c r="K38" s="44"/>
      <c r="L38" s="44"/>
      <c r="M38" s="44"/>
      <c r="N38" s="44"/>
      <c r="O38" s="44"/>
    </row>
    <row r="39" spans="1:17" ht="19.5" thickBot="1" x14ac:dyDescent="0.35">
      <c r="A39" s="503" t="s">
        <v>93</v>
      </c>
      <c r="B39" s="504"/>
      <c r="C39" s="504"/>
      <c r="D39" s="504"/>
      <c r="E39" s="505"/>
      <c r="F39" s="107"/>
      <c r="G39" s="107"/>
      <c r="J39" s="503" t="s">
        <v>86</v>
      </c>
      <c r="K39" s="504"/>
      <c r="L39" s="504"/>
      <c r="M39" s="504"/>
      <c r="N39" s="505"/>
    </row>
    <row r="40" spans="1:17" s="104" customFormat="1" ht="15" thickBot="1" x14ac:dyDescent="0.25">
      <c r="A40" s="132" t="s">
        <v>51</v>
      </c>
      <c r="B40" s="100" t="s">
        <v>101</v>
      </c>
      <c r="C40" s="147" t="s">
        <v>102</v>
      </c>
      <c r="D40" s="147" t="s">
        <v>103</v>
      </c>
      <c r="E40" s="43" t="s">
        <v>115</v>
      </c>
      <c r="F40" s="43" t="s">
        <v>116</v>
      </c>
      <c r="G40" s="108"/>
      <c r="H40" s="108"/>
      <c r="I40" s="108"/>
      <c r="J40" s="105" t="s">
        <v>51</v>
      </c>
      <c r="K40" s="100" t="s">
        <v>101</v>
      </c>
      <c r="L40" s="147" t="s">
        <v>102</v>
      </c>
      <c r="M40" s="147" t="s">
        <v>103</v>
      </c>
      <c r="N40" s="103" t="s">
        <v>115</v>
      </c>
      <c r="O40" s="103" t="s">
        <v>116</v>
      </c>
    </row>
    <row r="41" spans="1:17" ht="14.25" x14ac:dyDescent="0.2">
      <c r="A41" s="50">
        <v>59</v>
      </c>
      <c r="B41" s="194">
        <v>157.5</v>
      </c>
      <c r="C41" s="195">
        <v>220</v>
      </c>
      <c r="D41" s="196">
        <v>267.5</v>
      </c>
      <c r="E41" s="124">
        <v>290</v>
      </c>
      <c r="F41" s="124">
        <v>370</v>
      </c>
      <c r="G41" s="109"/>
      <c r="H41" s="109"/>
      <c r="I41" s="109"/>
      <c r="J41" s="51">
        <v>47</v>
      </c>
      <c r="K41" s="151">
        <v>102.5</v>
      </c>
      <c r="L41" s="52">
        <v>145</v>
      </c>
      <c r="M41" s="148">
        <v>177.5</v>
      </c>
      <c r="N41" s="47">
        <v>190</v>
      </c>
      <c r="O41" s="47">
        <v>240</v>
      </c>
    </row>
    <row r="42" spans="1:17" ht="14.25" x14ac:dyDescent="0.2">
      <c r="A42" s="51">
        <v>66</v>
      </c>
      <c r="B42" s="152">
        <v>185</v>
      </c>
      <c r="C42" s="53">
        <v>260</v>
      </c>
      <c r="D42" s="149">
        <v>315</v>
      </c>
      <c r="E42" s="47">
        <v>347.5</v>
      </c>
      <c r="F42" s="47">
        <v>400</v>
      </c>
      <c r="G42" s="109"/>
      <c r="H42" s="109"/>
      <c r="I42" s="109"/>
      <c r="J42" s="51">
        <v>52</v>
      </c>
      <c r="K42" s="152">
        <v>112.5</v>
      </c>
      <c r="L42" s="53">
        <v>157.5</v>
      </c>
      <c r="M42" s="149">
        <v>192.5</v>
      </c>
      <c r="N42" s="47">
        <v>210</v>
      </c>
      <c r="O42" s="47">
        <v>260</v>
      </c>
    </row>
    <row r="43" spans="1:17" ht="14.25" x14ac:dyDescent="0.2">
      <c r="A43" s="51">
        <v>74</v>
      </c>
      <c r="B43" s="152">
        <v>212.5</v>
      </c>
      <c r="C43" s="53">
        <v>300</v>
      </c>
      <c r="D43" s="149">
        <v>362.5</v>
      </c>
      <c r="E43" s="47">
        <v>395</v>
      </c>
      <c r="F43" s="47">
        <v>465</v>
      </c>
      <c r="G43" s="109"/>
      <c r="H43" s="109"/>
      <c r="I43" s="109"/>
      <c r="J43" s="51">
        <v>57</v>
      </c>
      <c r="K43" s="152">
        <v>120</v>
      </c>
      <c r="L43" s="53">
        <v>167.5</v>
      </c>
      <c r="M43" s="149">
        <v>205</v>
      </c>
      <c r="N43" s="47">
        <v>220</v>
      </c>
      <c r="O43" s="47">
        <v>270</v>
      </c>
    </row>
    <row r="44" spans="1:17" ht="14.25" x14ac:dyDescent="0.2">
      <c r="A44" s="51">
        <v>83</v>
      </c>
      <c r="B44" s="152">
        <v>240</v>
      </c>
      <c r="C44" s="53">
        <v>335</v>
      </c>
      <c r="D44" s="149">
        <v>407.5</v>
      </c>
      <c r="E44" s="47">
        <v>452.5</v>
      </c>
      <c r="F44" s="47">
        <v>540</v>
      </c>
      <c r="G44" s="109"/>
      <c r="H44" s="109"/>
      <c r="I44" s="109"/>
      <c r="J44" s="51">
        <v>63</v>
      </c>
      <c r="K44" s="152">
        <v>125</v>
      </c>
      <c r="L44" s="53">
        <v>172.5</v>
      </c>
      <c r="M44" s="149">
        <v>210</v>
      </c>
      <c r="N44" s="47">
        <v>225</v>
      </c>
      <c r="O44" s="47">
        <v>280</v>
      </c>
    </row>
    <row r="45" spans="1:17" ht="14.25" x14ac:dyDescent="0.2">
      <c r="A45" s="51">
        <v>93</v>
      </c>
      <c r="B45" s="152">
        <v>265</v>
      </c>
      <c r="C45" s="53">
        <v>370</v>
      </c>
      <c r="D45" s="149">
        <v>450</v>
      </c>
      <c r="E45" s="47">
        <v>492.5</v>
      </c>
      <c r="F45" s="47">
        <v>580</v>
      </c>
      <c r="G45" s="109"/>
      <c r="H45" s="109"/>
      <c r="I45" s="109"/>
      <c r="J45" s="51">
        <v>69</v>
      </c>
      <c r="K45" s="152">
        <v>127.5</v>
      </c>
      <c r="L45" s="53">
        <v>180</v>
      </c>
      <c r="M45" s="149">
        <v>217.5</v>
      </c>
      <c r="N45" s="47">
        <v>240</v>
      </c>
      <c r="O45" s="47">
        <v>300</v>
      </c>
    </row>
    <row r="46" spans="1:17" ht="14.25" x14ac:dyDescent="0.2">
      <c r="A46" s="51">
        <v>105</v>
      </c>
      <c r="B46" s="152">
        <v>280</v>
      </c>
      <c r="C46" s="53">
        <v>392.5</v>
      </c>
      <c r="D46" s="149">
        <v>475</v>
      </c>
      <c r="E46" s="47">
        <v>517.5</v>
      </c>
      <c r="F46" s="47">
        <v>600</v>
      </c>
      <c r="G46" s="109"/>
      <c r="H46" s="109"/>
      <c r="I46" s="109"/>
      <c r="J46" s="51">
        <v>76</v>
      </c>
      <c r="K46" s="152">
        <v>135</v>
      </c>
      <c r="L46" s="53">
        <v>190</v>
      </c>
      <c r="M46" s="149">
        <v>230</v>
      </c>
      <c r="N46" s="47">
        <v>250</v>
      </c>
      <c r="O46" s="47">
        <v>310</v>
      </c>
    </row>
    <row r="47" spans="1:17" ht="14.25" x14ac:dyDescent="0.2">
      <c r="A47" s="51">
        <v>120</v>
      </c>
      <c r="B47" s="152">
        <v>302.5</v>
      </c>
      <c r="C47" s="53">
        <v>422.5</v>
      </c>
      <c r="D47" s="149">
        <v>515</v>
      </c>
      <c r="E47" s="47">
        <v>557.5</v>
      </c>
      <c r="F47" s="47">
        <v>630</v>
      </c>
      <c r="G47" s="109"/>
      <c r="H47" s="109"/>
      <c r="I47" s="109"/>
      <c r="J47" s="51">
        <v>84</v>
      </c>
      <c r="K47" s="152">
        <v>142.5</v>
      </c>
      <c r="L47" s="53">
        <v>200</v>
      </c>
      <c r="M47" s="149">
        <v>242.5</v>
      </c>
      <c r="N47" s="47">
        <v>260</v>
      </c>
      <c r="O47" s="47">
        <v>330</v>
      </c>
    </row>
    <row r="48" spans="1:17" ht="15" thickBot="1" x14ac:dyDescent="0.25">
      <c r="A48" s="129" t="s">
        <v>53</v>
      </c>
      <c r="B48" s="153">
        <v>305</v>
      </c>
      <c r="C48" s="54">
        <v>427.5</v>
      </c>
      <c r="D48" s="150">
        <v>517.5</v>
      </c>
      <c r="E48" s="49">
        <v>560</v>
      </c>
      <c r="F48" s="49">
        <v>650</v>
      </c>
      <c r="G48" s="109"/>
      <c r="H48" s="109"/>
      <c r="I48" s="109"/>
      <c r="J48" s="129" t="s">
        <v>52</v>
      </c>
      <c r="K48" s="153">
        <v>150</v>
      </c>
      <c r="L48" s="54">
        <v>210</v>
      </c>
      <c r="M48" s="150">
        <v>255</v>
      </c>
      <c r="N48" s="49">
        <v>270</v>
      </c>
      <c r="O48" s="49">
        <v>340</v>
      </c>
    </row>
    <row r="49" spans="1:15" ht="16.5" thickBot="1" x14ac:dyDescent="0.3">
      <c r="A49" s="55"/>
      <c r="B49" s="128" t="s">
        <v>71</v>
      </c>
      <c r="C49" s="56"/>
      <c r="D49" s="56"/>
      <c r="E49" s="56"/>
      <c r="F49" s="56"/>
      <c r="G49" s="56"/>
      <c r="I49" s="57"/>
      <c r="K49" s="45"/>
      <c r="L49" s="45"/>
      <c r="M49" s="57"/>
    </row>
    <row r="50" spans="1:15" ht="19.5" thickBot="1" x14ac:dyDescent="0.25">
      <c r="A50" s="503" t="s">
        <v>92</v>
      </c>
      <c r="B50" s="504"/>
      <c r="C50" s="504"/>
      <c r="D50" s="504"/>
      <c r="E50" s="505"/>
      <c r="F50" s="114"/>
      <c r="G50" s="114"/>
      <c r="H50" s="114"/>
      <c r="J50" s="503" t="s">
        <v>87</v>
      </c>
      <c r="K50" s="504"/>
      <c r="L50" s="504"/>
      <c r="M50" s="504"/>
      <c r="N50" s="505"/>
    </row>
    <row r="51" spans="1:15" s="104" customFormat="1" ht="15" thickBot="1" x14ac:dyDescent="0.25">
      <c r="A51" s="132" t="s">
        <v>51</v>
      </c>
      <c r="B51" s="100" t="s">
        <v>101</v>
      </c>
      <c r="C51" s="147" t="s">
        <v>102</v>
      </c>
      <c r="D51" s="147" t="s">
        <v>103</v>
      </c>
      <c r="E51" s="43" t="s">
        <v>115</v>
      </c>
      <c r="F51" s="43" t="s">
        <v>116</v>
      </c>
      <c r="G51" s="108"/>
      <c r="H51" s="108"/>
      <c r="J51" s="116" t="s">
        <v>51</v>
      </c>
      <c r="K51" s="100" t="s">
        <v>101</v>
      </c>
      <c r="L51" s="147" t="s">
        <v>102</v>
      </c>
      <c r="M51" s="147" t="s">
        <v>103</v>
      </c>
      <c r="N51" s="103" t="s">
        <v>115</v>
      </c>
      <c r="O51" s="103" t="s">
        <v>116</v>
      </c>
    </row>
    <row r="52" spans="1:15" ht="14.25" x14ac:dyDescent="0.2">
      <c r="A52" s="50">
        <v>59</v>
      </c>
      <c r="B52" s="194">
        <v>142.5</v>
      </c>
      <c r="C52" s="195">
        <v>197.5</v>
      </c>
      <c r="D52" s="196">
        <v>240</v>
      </c>
      <c r="E52" s="124">
        <v>270</v>
      </c>
      <c r="F52" s="124">
        <v>340</v>
      </c>
      <c r="G52" s="109"/>
      <c r="H52" s="109"/>
      <c r="J52" s="51">
        <v>47</v>
      </c>
      <c r="K52" s="151">
        <v>92.5</v>
      </c>
      <c r="L52" s="52">
        <v>132.5</v>
      </c>
      <c r="M52" s="148">
        <v>160</v>
      </c>
      <c r="N52" s="47">
        <v>170</v>
      </c>
      <c r="O52" s="110">
        <v>200</v>
      </c>
    </row>
    <row r="53" spans="1:15" ht="14.25" x14ac:dyDescent="0.2">
      <c r="A53" s="51">
        <v>66</v>
      </c>
      <c r="B53" s="152">
        <v>167.5</v>
      </c>
      <c r="C53" s="53">
        <v>235</v>
      </c>
      <c r="D53" s="149">
        <v>285</v>
      </c>
      <c r="E53" s="47">
        <v>312.5</v>
      </c>
      <c r="F53" s="47">
        <v>380</v>
      </c>
      <c r="G53" s="109"/>
      <c r="H53" s="109"/>
      <c r="J53" s="51">
        <v>52</v>
      </c>
      <c r="K53" s="152">
        <v>102.5</v>
      </c>
      <c r="L53" s="53">
        <v>142.5</v>
      </c>
      <c r="M53" s="149">
        <v>172.5</v>
      </c>
      <c r="N53" s="47">
        <v>185</v>
      </c>
      <c r="O53" s="111">
        <v>220</v>
      </c>
    </row>
    <row r="54" spans="1:15" ht="14.25" x14ac:dyDescent="0.2">
      <c r="A54" s="51">
        <v>74</v>
      </c>
      <c r="B54" s="152">
        <v>192.5</v>
      </c>
      <c r="C54" s="53">
        <v>270</v>
      </c>
      <c r="D54" s="149">
        <v>327.5</v>
      </c>
      <c r="E54" s="47">
        <v>362.5</v>
      </c>
      <c r="F54" s="47">
        <v>435</v>
      </c>
      <c r="G54" s="109"/>
      <c r="H54" s="109"/>
      <c r="J54" s="51">
        <v>57</v>
      </c>
      <c r="K54" s="152">
        <v>107.5</v>
      </c>
      <c r="L54" s="53">
        <v>152.5</v>
      </c>
      <c r="M54" s="149">
        <v>185</v>
      </c>
      <c r="N54" s="47">
        <v>200</v>
      </c>
      <c r="O54" s="111">
        <v>235</v>
      </c>
    </row>
    <row r="55" spans="1:15" ht="14.25" x14ac:dyDescent="0.2">
      <c r="A55" s="51">
        <v>83</v>
      </c>
      <c r="B55" s="152">
        <v>217.5</v>
      </c>
      <c r="C55" s="53">
        <v>302.5</v>
      </c>
      <c r="D55" s="149">
        <v>367.5</v>
      </c>
      <c r="E55" s="47">
        <v>400</v>
      </c>
      <c r="F55" s="47">
        <v>480</v>
      </c>
      <c r="G55" s="109"/>
      <c r="H55" s="109"/>
      <c r="J55" s="51">
        <v>63</v>
      </c>
      <c r="K55" s="152">
        <v>112.5</v>
      </c>
      <c r="L55" s="53">
        <v>157.5</v>
      </c>
      <c r="M55" s="149">
        <v>190</v>
      </c>
      <c r="N55" s="47">
        <v>205</v>
      </c>
      <c r="O55" s="111">
        <v>250</v>
      </c>
    </row>
    <row r="56" spans="1:15" ht="14.25" x14ac:dyDescent="0.2">
      <c r="A56" s="51">
        <v>93</v>
      </c>
      <c r="B56" s="152">
        <v>240</v>
      </c>
      <c r="C56" s="53">
        <v>335</v>
      </c>
      <c r="D56" s="149">
        <v>405</v>
      </c>
      <c r="E56" s="47">
        <v>440</v>
      </c>
      <c r="F56" s="47">
        <v>510</v>
      </c>
      <c r="G56" s="109"/>
      <c r="H56" s="109"/>
      <c r="J56" s="51">
        <v>69</v>
      </c>
      <c r="K56" s="152">
        <v>117.5</v>
      </c>
      <c r="L56" s="53">
        <v>165</v>
      </c>
      <c r="M56" s="149">
        <v>200</v>
      </c>
      <c r="N56" s="47">
        <v>215</v>
      </c>
      <c r="O56" s="111">
        <v>265</v>
      </c>
    </row>
    <row r="57" spans="1:15" ht="14.25" x14ac:dyDescent="0.2">
      <c r="A57" s="51">
        <v>105</v>
      </c>
      <c r="B57" s="152">
        <v>252.5</v>
      </c>
      <c r="C57" s="53">
        <v>352.5</v>
      </c>
      <c r="D57" s="149">
        <v>430</v>
      </c>
      <c r="E57" s="47">
        <v>465</v>
      </c>
      <c r="F57" s="47">
        <v>530</v>
      </c>
      <c r="G57" s="109"/>
      <c r="H57" s="109"/>
      <c r="J57" s="51">
        <v>76</v>
      </c>
      <c r="K57" s="152">
        <v>122.5</v>
      </c>
      <c r="L57" s="53">
        <v>170</v>
      </c>
      <c r="M57" s="149">
        <v>207.5</v>
      </c>
      <c r="N57" s="47">
        <v>225</v>
      </c>
      <c r="O57" s="111">
        <v>280</v>
      </c>
    </row>
    <row r="58" spans="1:15" ht="14.25" x14ac:dyDescent="0.2">
      <c r="A58" s="51">
        <v>120</v>
      </c>
      <c r="B58" s="152">
        <v>272.5</v>
      </c>
      <c r="C58" s="53">
        <v>380</v>
      </c>
      <c r="D58" s="149">
        <v>462.5</v>
      </c>
      <c r="E58" s="47">
        <v>500</v>
      </c>
      <c r="F58" s="47">
        <v>560</v>
      </c>
      <c r="G58" s="109"/>
      <c r="H58" s="109"/>
      <c r="J58" s="51">
        <v>84</v>
      </c>
      <c r="K58" s="152">
        <v>130</v>
      </c>
      <c r="L58" s="53">
        <v>182.5</v>
      </c>
      <c r="M58" s="149">
        <v>220</v>
      </c>
      <c r="N58" s="47">
        <v>240</v>
      </c>
      <c r="O58" s="111">
        <v>295</v>
      </c>
    </row>
    <row r="59" spans="1:15" ht="15" thickBot="1" x14ac:dyDescent="0.25">
      <c r="A59" s="129" t="s">
        <v>53</v>
      </c>
      <c r="B59" s="153">
        <v>292.5</v>
      </c>
      <c r="C59" s="54">
        <v>407.5</v>
      </c>
      <c r="D59" s="150">
        <v>495</v>
      </c>
      <c r="E59" s="47">
        <v>527.5</v>
      </c>
      <c r="F59" s="47">
        <v>600</v>
      </c>
      <c r="G59" s="109"/>
      <c r="H59" s="109"/>
      <c r="J59" s="129" t="s">
        <v>52</v>
      </c>
      <c r="K59" s="153">
        <v>140</v>
      </c>
      <c r="L59" s="54">
        <v>195</v>
      </c>
      <c r="M59" s="150">
        <v>235</v>
      </c>
      <c r="N59" s="112">
        <v>255</v>
      </c>
      <c r="O59" s="112">
        <v>305</v>
      </c>
    </row>
    <row r="60" spans="1:15" ht="16.5" thickBot="1" x14ac:dyDescent="0.3">
      <c r="A60" s="55"/>
      <c r="B60" s="99" t="s">
        <v>71</v>
      </c>
      <c r="C60" s="56"/>
      <c r="D60" s="56"/>
      <c r="E60" s="56"/>
      <c r="F60" s="56"/>
      <c r="G60" s="56"/>
      <c r="H60" s="56"/>
      <c r="J60" s="58"/>
      <c r="K60" s="59"/>
      <c r="L60" s="59"/>
      <c r="M60" s="45"/>
      <c r="N60" s="59"/>
    </row>
    <row r="61" spans="1:15" ht="19.5" thickBot="1" x14ac:dyDescent="0.25">
      <c r="A61" s="503" t="s">
        <v>91</v>
      </c>
      <c r="B61" s="504"/>
      <c r="C61" s="504"/>
      <c r="D61" s="504"/>
      <c r="E61" s="505"/>
      <c r="F61" s="114"/>
      <c r="G61" s="114"/>
      <c r="H61" s="114"/>
      <c r="J61" s="503" t="s">
        <v>88</v>
      </c>
      <c r="K61" s="504"/>
      <c r="L61" s="504"/>
      <c r="M61" s="504"/>
      <c r="N61" s="505"/>
    </row>
    <row r="62" spans="1:15" s="104" customFormat="1" ht="15" thickBot="1" x14ac:dyDescent="0.25">
      <c r="A62" s="132" t="s">
        <v>51</v>
      </c>
      <c r="B62" s="100" t="s">
        <v>101</v>
      </c>
      <c r="C62" s="147" t="s">
        <v>102</v>
      </c>
      <c r="D62" s="147" t="s">
        <v>103</v>
      </c>
      <c r="E62" s="193" t="s">
        <v>115</v>
      </c>
      <c r="F62" s="193" t="s">
        <v>116</v>
      </c>
      <c r="G62" s="108"/>
      <c r="H62" s="108"/>
      <c r="J62" s="116" t="s">
        <v>51</v>
      </c>
      <c r="K62" s="125" t="s">
        <v>101</v>
      </c>
      <c r="L62" s="144" t="s">
        <v>102</v>
      </c>
      <c r="M62" s="144" t="s">
        <v>103</v>
      </c>
      <c r="N62" s="113" t="s">
        <v>115</v>
      </c>
      <c r="O62" s="113" t="s">
        <v>116</v>
      </c>
    </row>
    <row r="63" spans="1:15" ht="14.25" x14ac:dyDescent="0.2">
      <c r="A63" s="50">
        <v>59</v>
      </c>
      <c r="B63" s="151">
        <v>127.5</v>
      </c>
      <c r="C63" s="52">
        <v>177.5</v>
      </c>
      <c r="D63" s="148">
        <v>215</v>
      </c>
      <c r="E63" s="47">
        <v>237.5</v>
      </c>
      <c r="F63" s="47">
        <v>280</v>
      </c>
      <c r="G63" s="109"/>
      <c r="H63" s="109"/>
      <c r="J63" s="171">
        <v>47</v>
      </c>
      <c r="K63" s="151">
        <v>82.5</v>
      </c>
      <c r="L63" s="52">
        <v>115</v>
      </c>
      <c r="M63" s="148">
        <v>140</v>
      </c>
      <c r="N63" s="131">
        <v>152.5</v>
      </c>
      <c r="O63" s="110">
        <v>180</v>
      </c>
    </row>
    <row r="64" spans="1:15" ht="14.25" x14ac:dyDescent="0.2">
      <c r="A64" s="51">
        <v>66</v>
      </c>
      <c r="B64" s="152">
        <v>150</v>
      </c>
      <c r="C64" s="53">
        <v>207.5</v>
      </c>
      <c r="D64" s="149">
        <v>252.5</v>
      </c>
      <c r="E64" s="47">
        <v>275</v>
      </c>
      <c r="F64" s="47">
        <v>320</v>
      </c>
      <c r="G64" s="109"/>
      <c r="H64" s="109"/>
      <c r="J64" s="51">
        <v>52</v>
      </c>
      <c r="K64" s="152">
        <v>90</v>
      </c>
      <c r="L64" s="53">
        <v>125</v>
      </c>
      <c r="M64" s="149">
        <v>152.5</v>
      </c>
      <c r="N64" s="47">
        <v>165</v>
      </c>
      <c r="O64" s="111">
        <v>190</v>
      </c>
    </row>
    <row r="65" spans="1:16" ht="14.25" x14ac:dyDescent="0.2">
      <c r="A65" s="51">
        <v>74</v>
      </c>
      <c r="B65" s="152">
        <v>170</v>
      </c>
      <c r="C65" s="53">
        <v>240</v>
      </c>
      <c r="D65" s="149">
        <v>290</v>
      </c>
      <c r="E65" s="47">
        <v>320</v>
      </c>
      <c r="F65" s="47">
        <v>340</v>
      </c>
      <c r="G65" s="109"/>
      <c r="H65" s="109"/>
      <c r="J65" s="51">
        <v>57</v>
      </c>
      <c r="K65" s="152">
        <v>95</v>
      </c>
      <c r="L65" s="53">
        <v>132.5</v>
      </c>
      <c r="M65" s="149">
        <v>162.5</v>
      </c>
      <c r="N65" s="47">
        <v>177.5</v>
      </c>
      <c r="O65" s="111">
        <v>200</v>
      </c>
    </row>
    <row r="66" spans="1:16" ht="14.25" x14ac:dyDescent="0.2">
      <c r="A66" s="51">
        <v>83</v>
      </c>
      <c r="B66" s="152">
        <v>192.5</v>
      </c>
      <c r="C66" s="53">
        <v>270</v>
      </c>
      <c r="D66" s="149">
        <v>327.5</v>
      </c>
      <c r="E66" s="47">
        <v>350</v>
      </c>
      <c r="F66" s="47">
        <v>370</v>
      </c>
      <c r="G66" s="109"/>
      <c r="H66" s="109"/>
      <c r="J66" s="51">
        <v>63</v>
      </c>
      <c r="K66" s="152">
        <v>100</v>
      </c>
      <c r="L66" s="53">
        <v>140</v>
      </c>
      <c r="M66" s="149">
        <v>170</v>
      </c>
      <c r="N66" s="47">
        <v>182.5</v>
      </c>
      <c r="O66" s="111">
        <v>210</v>
      </c>
    </row>
    <row r="67" spans="1:16" ht="14.25" x14ac:dyDescent="0.2">
      <c r="A67" s="51">
        <v>93</v>
      </c>
      <c r="B67" s="152">
        <v>212.5</v>
      </c>
      <c r="C67" s="53">
        <v>297.5</v>
      </c>
      <c r="D67" s="149">
        <v>362.5</v>
      </c>
      <c r="E67" s="47">
        <v>385</v>
      </c>
      <c r="F67" s="47">
        <v>420</v>
      </c>
      <c r="G67" s="109"/>
      <c r="H67" s="109"/>
      <c r="J67" s="51">
        <v>69</v>
      </c>
      <c r="K67" s="152">
        <v>105</v>
      </c>
      <c r="L67" s="53">
        <v>145</v>
      </c>
      <c r="M67" s="149">
        <v>177.5</v>
      </c>
      <c r="N67" s="47">
        <v>192.5</v>
      </c>
      <c r="O67" s="111">
        <v>225</v>
      </c>
    </row>
    <row r="68" spans="1:16" ht="14.25" x14ac:dyDescent="0.2">
      <c r="A68" s="51">
        <v>105</v>
      </c>
      <c r="B68" s="152">
        <v>222.5</v>
      </c>
      <c r="C68" s="53">
        <v>312.5</v>
      </c>
      <c r="D68" s="149">
        <v>380</v>
      </c>
      <c r="E68" s="47">
        <v>410</v>
      </c>
      <c r="F68" s="47">
        <v>440</v>
      </c>
      <c r="G68" s="109"/>
      <c r="H68" s="109"/>
      <c r="J68" s="51">
        <v>76</v>
      </c>
      <c r="K68" s="152">
        <v>110</v>
      </c>
      <c r="L68" s="53">
        <v>152.5</v>
      </c>
      <c r="M68" s="149">
        <v>185</v>
      </c>
      <c r="N68" s="47">
        <v>200</v>
      </c>
      <c r="O68" s="111">
        <v>240</v>
      </c>
    </row>
    <row r="69" spans="1:16" ht="14.25" x14ac:dyDescent="0.2">
      <c r="A69" s="51">
        <v>120</v>
      </c>
      <c r="B69" s="152">
        <v>242.5</v>
      </c>
      <c r="C69" s="53">
        <v>340</v>
      </c>
      <c r="D69" s="149">
        <v>412.5</v>
      </c>
      <c r="E69" s="47">
        <v>440</v>
      </c>
      <c r="F69" s="47">
        <v>470</v>
      </c>
      <c r="G69" s="109"/>
      <c r="H69" s="109"/>
      <c r="J69" s="51">
        <v>84</v>
      </c>
      <c r="K69" s="152">
        <v>115</v>
      </c>
      <c r="L69" s="53">
        <v>160</v>
      </c>
      <c r="M69" s="149">
        <v>195</v>
      </c>
      <c r="N69" s="47">
        <v>212.5</v>
      </c>
      <c r="O69" s="111">
        <v>255</v>
      </c>
    </row>
    <row r="70" spans="1:16" ht="15" thickBot="1" x14ac:dyDescent="0.25">
      <c r="A70" s="129" t="s">
        <v>53</v>
      </c>
      <c r="B70" s="153">
        <v>260</v>
      </c>
      <c r="C70" s="54">
        <v>362.5</v>
      </c>
      <c r="D70" s="150">
        <v>440</v>
      </c>
      <c r="E70" s="49">
        <v>470</v>
      </c>
      <c r="F70" s="49">
        <v>510</v>
      </c>
      <c r="G70" s="109"/>
      <c r="H70" s="109"/>
      <c r="J70" s="129" t="s">
        <v>52</v>
      </c>
      <c r="K70" s="153">
        <v>125</v>
      </c>
      <c r="L70" s="54">
        <v>172.5</v>
      </c>
      <c r="M70" s="150">
        <v>210</v>
      </c>
      <c r="N70" s="49">
        <v>227.5</v>
      </c>
      <c r="O70" s="112">
        <v>270</v>
      </c>
    </row>
    <row r="71" spans="1:16" ht="16.5" thickBot="1" x14ac:dyDescent="0.3">
      <c r="A71" s="44"/>
      <c r="B71" s="128" t="s">
        <v>71</v>
      </c>
      <c r="C71" s="44"/>
      <c r="D71" s="44"/>
      <c r="E71" s="44"/>
      <c r="F71" s="44"/>
      <c r="G71" s="44"/>
      <c r="H71" s="44"/>
      <c r="J71" s="44"/>
      <c r="K71" s="44"/>
      <c r="L71" s="44"/>
      <c r="M71" s="45"/>
      <c r="N71" s="44"/>
    </row>
    <row r="72" spans="1:16" ht="19.5" thickBot="1" x14ac:dyDescent="0.35">
      <c r="A72" s="503" t="s">
        <v>90</v>
      </c>
      <c r="B72" s="504"/>
      <c r="C72" s="504"/>
      <c r="D72" s="504"/>
      <c r="E72" s="505"/>
      <c r="F72" s="114"/>
      <c r="G72" s="114"/>
      <c r="H72" s="114"/>
      <c r="J72" s="500" t="s">
        <v>89</v>
      </c>
      <c r="K72" s="501"/>
      <c r="L72" s="501"/>
      <c r="M72" s="501"/>
      <c r="N72" s="502"/>
    </row>
    <row r="73" spans="1:16" ht="15" thickBot="1" x14ac:dyDescent="0.25">
      <c r="A73" s="105" t="s">
        <v>51</v>
      </c>
      <c r="B73" s="100" t="s">
        <v>101</v>
      </c>
      <c r="C73" s="147" t="s">
        <v>102</v>
      </c>
      <c r="D73" s="147" t="s">
        <v>103</v>
      </c>
      <c r="E73" s="43" t="s">
        <v>115</v>
      </c>
      <c r="F73" s="43" t="s">
        <v>116</v>
      </c>
      <c r="G73" s="108"/>
      <c r="H73" s="108"/>
      <c r="I73" s="104"/>
      <c r="J73" s="116" t="s">
        <v>51</v>
      </c>
      <c r="K73" s="100" t="s">
        <v>101</v>
      </c>
      <c r="L73" s="147" t="s">
        <v>102</v>
      </c>
      <c r="M73" s="147" t="s">
        <v>103</v>
      </c>
      <c r="N73" s="103" t="s">
        <v>115</v>
      </c>
      <c r="O73" s="103" t="s">
        <v>116</v>
      </c>
      <c r="P73" s="104"/>
    </row>
    <row r="74" spans="1:16" ht="14.25" x14ac:dyDescent="0.2">
      <c r="A74" s="50">
        <v>59</v>
      </c>
      <c r="B74" s="194">
        <v>95</v>
      </c>
      <c r="C74" s="195">
        <v>132.5</v>
      </c>
      <c r="D74" s="196">
        <v>162.5</v>
      </c>
      <c r="E74" s="124">
        <v>180</v>
      </c>
      <c r="F74" s="124">
        <v>220</v>
      </c>
      <c r="G74" s="109"/>
      <c r="H74" s="109"/>
      <c r="J74" s="51">
        <v>47</v>
      </c>
      <c r="K74" s="151">
        <v>62.5</v>
      </c>
      <c r="L74" s="52">
        <v>87.5</v>
      </c>
      <c r="M74" s="148">
        <v>105</v>
      </c>
      <c r="N74" s="131">
        <v>115</v>
      </c>
      <c r="O74" s="110">
        <v>150</v>
      </c>
    </row>
    <row r="75" spans="1:16" ht="14.25" x14ac:dyDescent="0.2">
      <c r="A75" s="51">
        <v>66</v>
      </c>
      <c r="B75" s="152">
        <v>112.5</v>
      </c>
      <c r="C75" s="53">
        <v>155</v>
      </c>
      <c r="D75" s="149">
        <v>190</v>
      </c>
      <c r="E75" s="47">
        <v>207.5</v>
      </c>
      <c r="F75" s="47">
        <v>250</v>
      </c>
      <c r="G75" s="109"/>
      <c r="H75" s="109"/>
      <c r="J75" s="51">
        <v>52</v>
      </c>
      <c r="K75" s="152">
        <v>67.5</v>
      </c>
      <c r="L75" s="53">
        <v>95</v>
      </c>
      <c r="M75" s="149">
        <v>115</v>
      </c>
      <c r="N75" s="47">
        <v>125</v>
      </c>
      <c r="O75" s="111">
        <v>160</v>
      </c>
    </row>
    <row r="76" spans="1:16" ht="14.25" x14ac:dyDescent="0.2">
      <c r="A76" s="51">
        <v>74</v>
      </c>
      <c r="B76" s="152">
        <v>127.5</v>
      </c>
      <c r="C76" s="53">
        <v>177.5</v>
      </c>
      <c r="D76" s="149">
        <v>217.5</v>
      </c>
      <c r="E76" s="47">
        <v>235</v>
      </c>
      <c r="F76" s="47">
        <v>280</v>
      </c>
      <c r="G76" s="109"/>
      <c r="H76" s="109"/>
      <c r="J76" s="51">
        <v>57</v>
      </c>
      <c r="K76" s="152">
        <v>72.5</v>
      </c>
      <c r="L76" s="53">
        <v>100</v>
      </c>
      <c r="M76" s="149">
        <v>120</v>
      </c>
      <c r="N76" s="47">
        <v>132.5</v>
      </c>
      <c r="O76" s="111">
        <v>170</v>
      </c>
    </row>
    <row r="77" spans="1:16" ht="14.25" x14ac:dyDescent="0.2">
      <c r="A77" s="51">
        <v>83</v>
      </c>
      <c r="B77" s="152">
        <v>145</v>
      </c>
      <c r="C77" s="53">
        <v>202.5</v>
      </c>
      <c r="D77" s="149">
        <v>245</v>
      </c>
      <c r="E77" s="47">
        <v>265</v>
      </c>
      <c r="F77" s="47">
        <v>310</v>
      </c>
      <c r="G77" s="109"/>
      <c r="H77" s="109"/>
      <c r="J77" s="51">
        <v>63</v>
      </c>
      <c r="K77" s="152">
        <v>75</v>
      </c>
      <c r="L77" s="53">
        <v>105</v>
      </c>
      <c r="M77" s="149">
        <v>125</v>
      </c>
      <c r="N77" s="47">
        <v>135</v>
      </c>
      <c r="O77" s="111">
        <v>180</v>
      </c>
    </row>
    <row r="78" spans="1:16" ht="14.25" x14ac:dyDescent="0.2">
      <c r="A78" s="51">
        <v>93</v>
      </c>
      <c r="B78" s="152">
        <v>160</v>
      </c>
      <c r="C78" s="53">
        <v>222.5</v>
      </c>
      <c r="D78" s="149">
        <v>270</v>
      </c>
      <c r="E78" s="47">
        <v>292.5</v>
      </c>
      <c r="F78" s="47">
        <v>330</v>
      </c>
      <c r="G78" s="109"/>
      <c r="H78" s="109"/>
      <c r="J78" s="51">
        <v>69</v>
      </c>
      <c r="K78" s="152">
        <v>77.5</v>
      </c>
      <c r="L78" s="53">
        <v>110</v>
      </c>
      <c r="M78" s="149">
        <v>132.5</v>
      </c>
      <c r="N78" s="47">
        <v>145</v>
      </c>
      <c r="O78" s="111">
        <v>190</v>
      </c>
    </row>
    <row r="79" spans="1:16" ht="14.25" x14ac:dyDescent="0.2">
      <c r="A79" s="51">
        <v>105</v>
      </c>
      <c r="B79" s="152">
        <v>167.5</v>
      </c>
      <c r="C79" s="53">
        <v>235</v>
      </c>
      <c r="D79" s="149">
        <v>285</v>
      </c>
      <c r="E79" s="47">
        <v>312.5</v>
      </c>
      <c r="F79" s="47">
        <v>360</v>
      </c>
      <c r="G79" s="109"/>
      <c r="H79" s="109"/>
      <c r="J79" s="51">
        <v>76</v>
      </c>
      <c r="K79" s="152">
        <v>82.5</v>
      </c>
      <c r="L79" s="53">
        <v>115</v>
      </c>
      <c r="M79" s="149">
        <v>140</v>
      </c>
      <c r="N79" s="47">
        <v>152.5</v>
      </c>
      <c r="O79" s="111">
        <v>200</v>
      </c>
    </row>
    <row r="80" spans="1:16" ht="14.25" x14ac:dyDescent="0.2">
      <c r="A80" s="51">
        <v>120</v>
      </c>
      <c r="B80" s="152">
        <v>180</v>
      </c>
      <c r="C80" s="53">
        <v>255</v>
      </c>
      <c r="D80" s="149">
        <v>310</v>
      </c>
      <c r="E80" s="47">
        <v>337.5</v>
      </c>
      <c r="F80" s="47">
        <v>375</v>
      </c>
      <c r="G80" s="109"/>
      <c r="H80" s="109"/>
      <c r="J80" s="51">
        <v>84</v>
      </c>
      <c r="K80" s="152">
        <v>87.5</v>
      </c>
      <c r="L80" s="53">
        <v>120</v>
      </c>
      <c r="M80" s="149">
        <v>147.5</v>
      </c>
      <c r="N80" s="47">
        <v>160</v>
      </c>
      <c r="O80" s="111">
        <v>210</v>
      </c>
    </row>
    <row r="81" spans="1:15" ht="15" thickBot="1" x14ac:dyDescent="0.25">
      <c r="A81" s="129" t="s">
        <v>53</v>
      </c>
      <c r="B81" s="153">
        <v>195</v>
      </c>
      <c r="C81" s="54">
        <v>272.5</v>
      </c>
      <c r="D81" s="150">
        <v>332.5</v>
      </c>
      <c r="E81" s="49">
        <v>360</v>
      </c>
      <c r="F81" s="49">
        <v>390</v>
      </c>
      <c r="G81" s="109"/>
      <c r="H81" s="109"/>
      <c r="J81" s="129" t="s">
        <v>52</v>
      </c>
      <c r="K81" s="153">
        <v>92.5</v>
      </c>
      <c r="L81" s="54">
        <v>130</v>
      </c>
      <c r="M81" s="150">
        <v>157.5</v>
      </c>
      <c r="N81" s="49">
        <v>170</v>
      </c>
      <c r="O81" s="112">
        <v>220</v>
      </c>
    </row>
    <row r="82" spans="1:15" x14ac:dyDescent="0.2">
      <c r="M82" s="45"/>
    </row>
  </sheetData>
  <sheetProtection sheet="1" objects="1" scenarios="1"/>
  <mergeCells count="16">
    <mergeCell ref="A1:M1"/>
    <mergeCell ref="A2:M2"/>
    <mergeCell ref="J4:Q4"/>
    <mergeCell ref="A4:H4"/>
    <mergeCell ref="A50:E50"/>
    <mergeCell ref="J16:Q16"/>
    <mergeCell ref="A16:H16"/>
    <mergeCell ref="J28:Q28"/>
    <mergeCell ref="A28:H28"/>
    <mergeCell ref="A39:E39"/>
    <mergeCell ref="J39:N39"/>
    <mergeCell ref="J72:N72"/>
    <mergeCell ref="J61:N61"/>
    <mergeCell ref="J50:N50"/>
    <mergeCell ref="A72:E72"/>
    <mergeCell ref="A61:E61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6"/>
  <dimension ref="A1:Q57"/>
  <sheetViews>
    <sheetView zoomScaleNormal="100" workbookViewId="0">
      <selection activeCell="I10" sqref="I10"/>
    </sheetView>
  </sheetViews>
  <sheetFormatPr baseColWidth="10" defaultColWidth="11.42578125" defaultRowHeight="12.75" x14ac:dyDescent="0.2"/>
  <cols>
    <col min="1" max="1" width="9.42578125" style="60" customWidth="1"/>
    <col min="2" max="9" width="11.42578125" style="60"/>
    <col min="10" max="10" width="9.5703125" style="60" customWidth="1"/>
    <col min="11" max="16384" width="11.42578125" style="60"/>
  </cols>
  <sheetData>
    <row r="1" spans="1:17" ht="35.25" thickBot="1" x14ac:dyDescent="0.5">
      <c r="A1" s="518" t="s">
        <v>426</v>
      </c>
      <c r="B1" s="519"/>
      <c r="C1" s="519"/>
      <c r="D1" s="519"/>
      <c r="E1" s="519"/>
      <c r="F1" s="519"/>
      <c r="G1" s="519"/>
      <c r="H1" s="519"/>
      <c r="I1" s="519"/>
      <c r="J1" s="519"/>
      <c r="K1" s="519"/>
      <c r="L1" s="520"/>
    </row>
    <row r="2" spans="1:17" ht="18.75" customHeight="1" thickBot="1" x14ac:dyDescent="0.35">
      <c r="A2" s="521" t="s">
        <v>154</v>
      </c>
      <c r="B2" s="522"/>
      <c r="C2" s="522"/>
      <c r="D2" s="522"/>
      <c r="E2" s="522"/>
      <c r="F2" s="522"/>
      <c r="G2" s="522"/>
      <c r="H2" s="522"/>
      <c r="I2" s="522"/>
      <c r="J2" s="522"/>
      <c r="K2" s="522"/>
      <c r="L2" s="523"/>
    </row>
    <row r="3" spans="1:17" ht="33" customHeight="1" thickBot="1" x14ac:dyDescent="0.3">
      <c r="A3" s="136"/>
      <c r="B3" s="99" t="s">
        <v>71</v>
      </c>
      <c r="C3" s="137"/>
      <c r="D3" s="137"/>
      <c r="E3" s="61"/>
      <c r="F3" s="61"/>
      <c r="G3" s="61"/>
      <c r="H3" s="137"/>
      <c r="I3" s="137"/>
      <c r="J3" s="137"/>
      <c r="K3" s="137"/>
      <c r="L3" s="61"/>
    </row>
    <row r="4" spans="1:17" ht="19.5" thickBot="1" x14ac:dyDescent="0.25">
      <c r="A4" s="526" t="s">
        <v>82</v>
      </c>
      <c r="B4" s="527"/>
      <c r="C4" s="527"/>
      <c r="D4" s="524" t="s">
        <v>83</v>
      </c>
      <c r="E4" s="524"/>
      <c r="F4" s="524"/>
      <c r="G4" s="524"/>
      <c r="H4" s="525"/>
      <c r="J4" s="526" t="s">
        <v>84</v>
      </c>
      <c r="K4" s="527"/>
      <c r="L4" s="527"/>
      <c r="M4" s="527"/>
      <c r="N4" s="524" t="s">
        <v>85</v>
      </c>
      <c r="O4" s="524"/>
      <c r="P4" s="524"/>
      <c r="Q4" s="525"/>
    </row>
    <row r="5" spans="1:17" ht="15" thickBot="1" x14ac:dyDescent="0.25">
      <c r="A5" s="219" t="s">
        <v>51</v>
      </c>
      <c r="B5" s="117" t="s">
        <v>101</v>
      </c>
      <c r="C5" s="117" t="s">
        <v>102</v>
      </c>
      <c r="D5" s="117" t="s">
        <v>103</v>
      </c>
      <c r="E5" s="117" t="s">
        <v>115</v>
      </c>
      <c r="F5" s="126" t="s">
        <v>116</v>
      </c>
      <c r="G5" s="126" t="s">
        <v>73</v>
      </c>
      <c r="H5" s="118" t="s">
        <v>74</v>
      </c>
      <c r="J5" s="225" t="s">
        <v>51</v>
      </c>
      <c r="K5" s="226" t="s">
        <v>101</v>
      </c>
      <c r="L5" s="197" t="s">
        <v>102</v>
      </c>
      <c r="M5" s="197" t="s">
        <v>103</v>
      </c>
      <c r="N5" s="197" t="s">
        <v>115</v>
      </c>
      <c r="O5" s="198" t="s">
        <v>116</v>
      </c>
      <c r="P5" s="198" t="s">
        <v>73</v>
      </c>
      <c r="Q5" s="193" t="s">
        <v>74</v>
      </c>
    </row>
    <row r="6" spans="1:17" ht="14.25" customHeight="1" x14ac:dyDescent="0.2">
      <c r="A6" s="220">
        <v>59</v>
      </c>
      <c r="B6" s="221">
        <v>235</v>
      </c>
      <c r="C6" s="130">
        <v>327.5</v>
      </c>
      <c r="D6" s="130">
        <v>397.5</v>
      </c>
      <c r="E6" s="130">
        <v>432.5</v>
      </c>
      <c r="F6" s="130">
        <v>472.5</v>
      </c>
      <c r="G6" s="173">
        <v>560</v>
      </c>
      <c r="H6" s="131">
        <v>600</v>
      </c>
      <c r="J6" s="220">
        <v>47</v>
      </c>
      <c r="K6" s="222">
        <v>137.5</v>
      </c>
      <c r="L6" s="46">
        <v>192.5</v>
      </c>
      <c r="M6" s="46">
        <v>232.5</v>
      </c>
      <c r="N6" s="46">
        <v>262.5</v>
      </c>
      <c r="O6" s="46">
        <v>285</v>
      </c>
      <c r="P6" s="164">
        <v>370</v>
      </c>
      <c r="Q6" s="47">
        <v>390</v>
      </c>
    </row>
    <row r="7" spans="1:17" ht="14.25" x14ac:dyDescent="0.2">
      <c r="A7" s="220">
        <v>66</v>
      </c>
      <c r="B7" s="222">
        <v>275</v>
      </c>
      <c r="C7" s="46">
        <v>385</v>
      </c>
      <c r="D7" s="46">
        <v>465</v>
      </c>
      <c r="E7" s="46">
        <v>532.5</v>
      </c>
      <c r="F7" s="46">
        <v>572.5</v>
      </c>
      <c r="G7" s="164">
        <v>630</v>
      </c>
      <c r="H7" s="47">
        <v>650</v>
      </c>
      <c r="J7" s="220">
        <v>52</v>
      </c>
      <c r="K7" s="222">
        <v>150</v>
      </c>
      <c r="L7" s="46">
        <v>210</v>
      </c>
      <c r="M7" s="46">
        <v>255</v>
      </c>
      <c r="N7" s="46">
        <v>312.5</v>
      </c>
      <c r="O7" s="46">
        <v>342.5</v>
      </c>
      <c r="P7" s="164">
        <v>410</v>
      </c>
      <c r="Q7" s="47">
        <v>430</v>
      </c>
    </row>
    <row r="8" spans="1:17" ht="14.25" x14ac:dyDescent="0.2">
      <c r="A8" s="220">
        <v>74</v>
      </c>
      <c r="B8" s="222">
        <v>307.5</v>
      </c>
      <c r="C8" s="46">
        <v>425</v>
      </c>
      <c r="D8" s="46">
        <v>520</v>
      </c>
      <c r="E8" s="46">
        <v>612.5</v>
      </c>
      <c r="F8" s="46">
        <v>642.5</v>
      </c>
      <c r="G8" s="164">
        <v>740</v>
      </c>
      <c r="H8" s="47">
        <v>760</v>
      </c>
      <c r="J8" s="220">
        <v>57</v>
      </c>
      <c r="K8" s="222">
        <v>162.5</v>
      </c>
      <c r="L8" s="46">
        <v>225</v>
      </c>
      <c r="M8" s="46">
        <v>275</v>
      </c>
      <c r="N8" s="46">
        <v>342.5</v>
      </c>
      <c r="O8" s="46">
        <v>372.5</v>
      </c>
      <c r="P8" s="164">
        <v>430</v>
      </c>
      <c r="Q8" s="47">
        <v>450</v>
      </c>
    </row>
    <row r="9" spans="1:17" ht="14.25" x14ac:dyDescent="0.2">
      <c r="A9" s="220">
        <v>83</v>
      </c>
      <c r="B9" s="222">
        <v>322.5</v>
      </c>
      <c r="C9" s="46">
        <v>452.5</v>
      </c>
      <c r="D9" s="46">
        <v>550</v>
      </c>
      <c r="E9" s="46">
        <v>672.5</v>
      </c>
      <c r="F9" s="46">
        <v>702.5</v>
      </c>
      <c r="G9" s="164">
        <v>800</v>
      </c>
      <c r="H9" s="47">
        <v>835</v>
      </c>
      <c r="J9" s="220">
        <v>63</v>
      </c>
      <c r="K9" s="222">
        <v>172.5</v>
      </c>
      <c r="L9" s="46">
        <v>240</v>
      </c>
      <c r="M9" s="46">
        <v>292.5</v>
      </c>
      <c r="N9" s="46">
        <v>362.5</v>
      </c>
      <c r="O9" s="46">
        <v>392.5</v>
      </c>
      <c r="P9" s="164">
        <v>460</v>
      </c>
      <c r="Q9" s="47">
        <v>490</v>
      </c>
    </row>
    <row r="10" spans="1:17" ht="14.25" x14ac:dyDescent="0.2">
      <c r="A10" s="220">
        <v>93</v>
      </c>
      <c r="B10" s="222">
        <v>342.5</v>
      </c>
      <c r="C10" s="46">
        <v>477.5</v>
      </c>
      <c r="D10" s="46">
        <v>580</v>
      </c>
      <c r="E10" s="46">
        <v>692.5</v>
      </c>
      <c r="F10" s="46">
        <v>727.5</v>
      </c>
      <c r="G10" s="164">
        <v>860</v>
      </c>
      <c r="H10" s="47">
        <v>900</v>
      </c>
      <c r="J10" s="220">
        <v>69</v>
      </c>
      <c r="K10" s="222">
        <v>180</v>
      </c>
      <c r="L10" s="46">
        <v>252.5</v>
      </c>
      <c r="M10" s="46">
        <v>305</v>
      </c>
      <c r="N10" s="46">
        <v>372.5</v>
      </c>
      <c r="O10" s="46">
        <v>402.5</v>
      </c>
      <c r="P10" s="164">
        <v>500</v>
      </c>
      <c r="Q10" s="47">
        <v>520</v>
      </c>
    </row>
    <row r="11" spans="1:17" ht="14.25" x14ac:dyDescent="0.2">
      <c r="A11" s="220">
        <v>105</v>
      </c>
      <c r="B11" s="222">
        <v>362.5</v>
      </c>
      <c r="C11" s="46">
        <v>507.49999999999994</v>
      </c>
      <c r="D11" s="46">
        <v>615</v>
      </c>
      <c r="E11" s="46">
        <v>717.5</v>
      </c>
      <c r="F11" s="46">
        <v>742.5</v>
      </c>
      <c r="G11" s="164">
        <v>930</v>
      </c>
      <c r="H11" s="47">
        <v>960</v>
      </c>
      <c r="J11" s="220">
        <v>76</v>
      </c>
      <c r="K11" s="222">
        <v>190</v>
      </c>
      <c r="L11" s="46">
        <v>267.5</v>
      </c>
      <c r="M11" s="46">
        <v>322.5</v>
      </c>
      <c r="N11" s="46">
        <v>377.5</v>
      </c>
      <c r="O11" s="46">
        <v>412.5</v>
      </c>
      <c r="P11" s="164">
        <v>530</v>
      </c>
      <c r="Q11" s="47">
        <v>550</v>
      </c>
    </row>
    <row r="12" spans="1:17" ht="14.25" x14ac:dyDescent="0.2">
      <c r="A12" s="220">
        <v>120</v>
      </c>
      <c r="B12" s="222">
        <v>375</v>
      </c>
      <c r="C12" s="46">
        <v>525</v>
      </c>
      <c r="D12" s="46">
        <v>635</v>
      </c>
      <c r="E12" s="46">
        <v>737.5</v>
      </c>
      <c r="F12" s="46">
        <v>767.5</v>
      </c>
      <c r="G12" s="164">
        <v>970</v>
      </c>
      <c r="H12" s="47">
        <v>990</v>
      </c>
      <c r="J12" s="220">
        <v>84</v>
      </c>
      <c r="K12" s="222">
        <v>197.5</v>
      </c>
      <c r="L12" s="46">
        <v>277.5</v>
      </c>
      <c r="M12" s="46">
        <v>335</v>
      </c>
      <c r="N12" s="46">
        <v>387.5</v>
      </c>
      <c r="O12" s="46">
        <v>425</v>
      </c>
      <c r="P12" s="164">
        <v>550</v>
      </c>
      <c r="Q12" s="47">
        <v>560</v>
      </c>
    </row>
    <row r="13" spans="1:17" ht="15" thickBot="1" x14ac:dyDescent="0.25">
      <c r="A13" s="223" t="s">
        <v>53</v>
      </c>
      <c r="B13" s="224">
        <v>385</v>
      </c>
      <c r="C13" s="48">
        <v>540</v>
      </c>
      <c r="D13" s="48">
        <v>655</v>
      </c>
      <c r="E13" s="48">
        <v>782.5</v>
      </c>
      <c r="F13" s="48">
        <v>802.5</v>
      </c>
      <c r="G13" s="165">
        <v>1000</v>
      </c>
      <c r="H13" s="49">
        <v>1015</v>
      </c>
      <c r="J13" s="227" t="s">
        <v>153</v>
      </c>
      <c r="K13" s="224">
        <v>200</v>
      </c>
      <c r="L13" s="48">
        <v>280</v>
      </c>
      <c r="M13" s="48">
        <v>340</v>
      </c>
      <c r="N13" s="48">
        <v>392.5</v>
      </c>
      <c r="O13" s="48">
        <v>430</v>
      </c>
      <c r="P13" s="167">
        <v>560</v>
      </c>
      <c r="Q13" s="168">
        <v>580</v>
      </c>
    </row>
    <row r="14" spans="1:17" ht="16.5" thickBot="1" x14ac:dyDescent="0.3">
      <c r="A14" s="62"/>
      <c r="B14" s="128" t="s">
        <v>71</v>
      </c>
      <c r="C14" s="62"/>
      <c r="D14" s="62"/>
      <c r="E14" s="62"/>
      <c r="F14" s="62"/>
      <c r="H14" s="45"/>
      <c r="I14" s="45"/>
      <c r="J14" s="45"/>
      <c r="K14" s="45"/>
      <c r="L14" s="45"/>
    </row>
    <row r="15" spans="1:17" ht="19.5" thickBot="1" x14ac:dyDescent="0.35">
      <c r="A15" s="512" t="s">
        <v>93</v>
      </c>
      <c r="B15" s="513"/>
      <c r="C15" s="513"/>
      <c r="D15" s="513"/>
      <c r="E15" s="514"/>
      <c r="F15" s="119"/>
      <c r="J15" s="512" t="s">
        <v>86</v>
      </c>
      <c r="K15" s="513"/>
      <c r="L15" s="513"/>
      <c r="M15" s="513"/>
      <c r="N15" s="514"/>
    </row>
    <row r="16" spans="1:17" s="106" customFormat="1" ht="14.25" x14ac:dyDescent="0.2">
      <c r="A16" s="219" t="s">
        <v>51</v>
      </c>
      <c r="B16" s="197" t="s">
        <v>101</v>
      </c>
      <c r="C16" s="197" t="s">
        <v>102</v>
      </c>
      <c r="D16" s="197" t="s">
        <v>103</v>
      </c>
      <c r="E16" s="193" t="s">
        <v>115</v>
      </c>
      <c r="F16" s="193" t="s">
        <v>116</v>
      </c>
      <c r="G16" s="120"/>
      <c r="H16" s="120"/>
      <c r="J16" s="219" t="s">
        <v>51</v>
      </c>
      <c r="K16" s="197" t="s">
        <v>101</v>
      </c>
      <c r="L16" s="197" t="s">
        <v>102</v>
      </c>
      <c r="M16" s="197" t="s">
        <v>103</v>
      </c>
      <c r="N16" s="193" t="s">
        <v>115</v>
      </c>
      <c r="O16" s="193" t="s">
        <v>116</v>
      </c>
    </row>
    <row r="17" spans="1:15" ht="14.25" x14ac:dyDescent="0.2">
      <c r="A17" s="228">
        <v>59</v>
      </c>
      <c r="B17" s="46">
        <v>190</v>
      </c>
      <c r="C17" s="46">
        <v>265</v>
      </c>
      <c r="D17" s="46">
        <v>320</v>
      </c>
      <c r="E17" s="47">
        <f>F17-10</f>
        <v>367.5</v>
      </c>
      <c r="F17" s="47">
        <v>377.5</v>
      </c>
      <c r="G17" s="121"/>
      <c r="H17" s="121"/>
      <c r="J17" s="228">
        <v>47</v>
      </c>
      <c r="K17" s="46">
        <v>112.5</v>
      </c>
      <c r="L17" s="46">
        <v>160</v>
      </c>
      <c r="M17" s="46">
        <v>192.5</v>
      </c>
      <c r="N17" s="47">
        <f>O17-10</f>
        <v>217.5</v>
      </c>
      <c r="O17" s="47">
        <v>227.5</v>
      </c>
    </row>
    <row r="18" spans="1:15" ht="14.25" customHeight="1" x14ac:dyDescent="0.2">
      <c r="A18" s="228">
        <v>66</v>
      </c>
      <c r="B18" s="46">
        <v>225</v>
      </c>
      <c r="C18" s="46">
        <v>315</v>
      </c>
      <c r="D18" s="46">
        <v>380</v>
      </c>
      <c r="E18" s="47">
        <f>F18-10</f>
        <v>437.5</v>
      </c>
      <c r="F18" s="47">
        <v>447.5</v>
      </c>
      <c r="G18" s="121"/>
      <c r="H18" s="121"/>
      <c r="J18" s="228">
        <v>52</v>
      </c>
      <c r="K18" s="46">
        <v>122.5</v>
      </c>
      <c r="L18" s="46">
        <v>172.5</v>
      </c>
      <c r="M18" s="46">
        <v>210</v>
      </c>
      <c r="N18" s="47">
        <f>O18-10</f>
        <v>237.5</v>
      </c>
      <c r="O18" s="47">
        <v>247.5</v>
      </c>
    </row>
    <row r="19" spans="1:15" ht="14.25" x14ac:dyDescent="0.2">
      <c r="A19" s="228">
        <v>74</v>
      </c>
      <c r="B19" s="46">
        <v>245</v>
      </c>
      <c r="C19" s="46">
        <v>345</v>
      </c>
      <c r="D19" s="46">
        <v>415</v>
      </c>
      <c r="E19" s="47">
        <f>F19-15</f>
        <v>475</v>
      </c>
      <c r="F19" s="47">
        <v>490</v>
      </c>
      <c r="G19" s="121"/>
      <c r="H19" s="121"/>
      <c r="J19" s="228">
        <v>57</v>
      </c>
      <c r="K19" s="46">
        <v>132.5</v>
      </c>
      <c r="L19" s="46">
        <v>185</v>
      </c>
      <c r="M19" s="46">
        <v>225</v>
      </c>
      <c r="N19" s="47">
        <f>O19-15</f>
        <v>250</v>
      </c>
      <c r="O19" s="47">
        <v>265</v>
      </c>
    </row>
    <row r="20" spans="1:15" ht="14.25" x14ac:dyDescent="0.2">
      <c r="A20" s="228">
        <v>83</v>
      </c>
      <c r="B20" s="46">
        <v>275</v>
      </c>
      <c r="C20" s="46">
        <v>385</v>
      </c>
      <c r="D20" s="46">
        <v>470</v>
      </c>
      <c r="E20" s="47">
        <f>F20-15</f>
        <v>537.5</v>
      </c>
      <c r="F20" s="47">
        <v>552.5</v>
      </c>
      <c r="G20" s="121"/>
      <c r="H20" s="121"/>
      <c r="J20" s="228">
        <v>63</v>
      </c>
      <c r="K20" s="46">
        <v>135</v>
      </c>
      <c r="L20" s="46">
        <v>190</v>
      </c>
      <c r="M20" s="46">
        <v>230</v>
      </c>
      <c r="N20" s="47">
        <f>O20-15</f>
        <v>255</v>
      </c>
      <c r="O20" s="47">
        <v>270</v>
      </c>
    </row>
    <row r="21" spans="1:15" ht="14.25" x14ac:dyDescent="0.2">
      <c r="A21" s="228">
        <v>93</v>
      </c>
      <c r="B21" s="46">
        <v>292.5</v>
      </c>
      <c r="C21" s="46">
        <v>410</v>
      </c>
      <c r="D21" s="46">
        <v>497.5</v>
      </c>
      <c r="E21" s="47">
        <f>F21-20</f>
        <v>565</v>
      </c>
      <c r="F21" s="47">
        <v>585</v>
      </c>
      <c r="G21" s="121"/>
      <c r="H21" s="121"/>
      <c r="J21" s="228">
        <v>69</v>
      </c>
      <c r="K21" s="46">
        <v>140</v>
      </c>
      <c r="L21" s="46">
        <v>197.5</v>
      </c>
      <c r="M21" s="46">
        <v>237.5</v>
      </c>
      <c r="N21" s="47">
        <f>O21-20</f>
        <v>260</v>
      </c>
      <c r="O21" s="47">
        <v>280</v>
      </c>
    </row>
    <row r="22" spans="1:15" ht="14.25" x14ac:dyDescent="0.2">
      <c r="A22" s="228">
        <v>105</v>
      </c>
      <c r="B22" s="46">
        <v>307.5</v>
      </c>
      <c r="C22" s="46">
        <v>430</v>
      </c>
      <c r="D22" s="46">
        <v>522.5</v>
      </c>
      <c r="E22" s="47">
        <f>F22-20</f>
        <v>595</v>
      </c>
      <c r="F22" s="47">
        <v>615</v>
      </c>
      <c r="G22" s="121"/>
      <c r="H22" s="121"/>
      <c r="J22" s="228">
        <v>76</v>
      </c>
      <c r="K22" s="46">
        <v>142.5</v>
      </c>
      <c r="L22" s="46">
        <v>202.5</v>
      </c>
      <c r="M22" s="46">
        <v>245</v>
      </c>
      <c r="N22" s="47">
        <f>O22-20</f>
        <v>267.5</v>
      </c>
      <c r="O22" s="47">
        <v>287.5</v>
      </c>
    </row>
    <row r="23" spans="1:15" ht="14.25" x14ac:dyDescent="0.2">
      <c r="A23" s="228">
        <v>120</v>
      </c>
      <c r="B23" s="46">
        <v>317.5</v>
      </c>
      <c r="C23" s="46">
        <v>445</v>
      </c>
      <c r="D23" s="46">
        <v>540</v>
      </c>
      <c r="E23" s="47">
        <f>F23-25</f>
        <v>610</v>
      </c>
      <c r="F23" s="47">
        <v>635</v>
      </c>
      <c r="G23" s="121"/>
      <c r="H23" s="121"/>
      <c r="J23" s="228">
        <v>84</v>
      </c>
      <c r="K23" s="46">
        <v>152.5</v>
      </c>
      <c r="L23" s="46">
        <v>212.5</v>
      </c>
      <c r="M23" s="46">
        <v>257.5</v>
      </c>
      <c r="N23" s="47">
        <f>O23-25</f>
        <v>277.5</v>
      </c>
      <c r="O23" s="47">
        <v>302.5</v>
      </c>
    </row>
    <row r="24" spans="1:15" ht="15" thickBot="1" x14ac:dyDescent="0.25">
      <c r="A24" s="229" t="s">
        <v>53</v>
      </c>
      <c r="B24" s="48">
        <v>340</v>
      </c>
      <c r="C24" s="48">
        <v>475</v>
      </c>
      <c r="D24" s="48">
        <v>577.5</v>
      </c>
      <c r="E24" s="49">
        <f>F24-30</f>
        <v>650</v>
      </c>
      <c r="F24" s="49">
        <v>680</v>
      </c>
      <c r="G24" s="121"/>
      <c r="I24" s="45"/>
      <c r="J24" s="229" t="s">
        <v>52</v>
      </c>
      <c r="K24" s="48">
        <v>162.5</v>
      </c>
      <c r="L24" s="48">
        <v>225</v>
      </c>
      <c r="M24" s="48">
        <v>275</v>
      </c>
      <c r="N24" s="49">
        <f>O24-30</f>
        <v>292.5</v>
      </c>
      <c r="O24" s="49">
        <v>322.5</v>
      </c>
    </row>
    <row r="25" spans="1:15" ht="16.5" thickBot="1" x14ac:dyDescent="0.3">
      <c r="A25" s="55"/>
      <c r="B25" s="99" t="s">
        <v>71</v>
      </c>
      <c r="C25" s="56"/>
      <c r="D25" s="56"/>
      <c r="E25" s="56"/>
      <c r="F25" s="56"/>
      <c r="H25" s="58"/>
      <c r="I25" s="59"/>
      <c r="J25" s="45"/>
      <c r="K25" s="45"/>
      <c r="L25" s="45"/>
    </row>
    <row r="26" spans="1:15" ht="19.5" thickBot="1" x14ac:dyDescent="0.35">
      <c r="A26" s="515" t="s">
        <v>92</v>
      </c>
      <c r="B26" s="516"/>
      <c r="C26" s="516"/>
      <c r="D26" s="516"/>
      <c r="E26" s="517"/>
      <c r="F26" s="119"/>
      <c r="J26" s="512" t="s">
        <v>87</v>
      </c>
      <c r="K26" s="513"/>
      <c r="L26" s="513"/>
      <c r="M26" s="513"/>
      <c r="N26" s="514"/>
    </row>
    <row r="27" spans="1:15" s="106" customFormat="1" ht="14.25" x14ac:dyDescent="0.2">
      <c r="A27" s="219" t="s">
        <v>51</v>
      </c>
      <c r="B27" s="197" t="s">
        <v>101</v>
      </c>
      <c r="C27" s="197" t="s">
        <v>102</v>
      </c>
      <c r="D27" s="197" t="s">
        <v>103</v>
      </c>
      <c r="E27" s="193" t="s">
        <v>115</v>
      </c>
      <c r="F27" s="193" t="s">
        <v>116</v>
      </c>
      <c r="G27" s="120"/>
      <c r="H27" s="120"/>
      <c r="J27" s="219" t="s">
        <v>51</v>
      </c>
      <c r="K27" s="197" t="s">
        <v>101</v>
      </c>
      <c r="L27" s="197" t="s">
        <v>102</v>
      </c>
      <c r="M27" s="197" t="s">
        <v>103</v>
      </c>
      <c r="N27" s="193" t="s">
        <v>115</v>
      </c>
      <c r="O27" s="193" t="s">
        <v>116</v>
      </c>
    </row>
    <row r="28" spans="1:15" ht="14.25" x14ac:dyDescent="0.2">
      <c r="A28" s="228">
        <v>59</v>
      </c>
      <c r="B28" s="46">
        <v>170</v>
      </c>
      <c r="C28" s="46">
        <v>237.5</v>
      </c>
      <c r="D28" s="46">
        <v>290</v>
      </c>
      <c r="E28" s="47">
        <f>F28-10</f>
        <v>330</v>
      </c>
      <c r="F28" s="47">
        <v>340</v>
      </c>
      <c r="G28" s="121"/>
      <c r="H28" s="121"/>
      <c r="J28" s="228">
        <v>47</v>
      </c>
      <c r="K28" s="46">
        <v>102.5</v>
      </c>
      <c r="L28" s="46">
        <v>142.5</v>
      </c>
      <c r="M28" s="46">
        <v>175</v>
      </c>
      <c r="N28" s="47">
        <f>O28-10</f>
        <v>195</v>
      </c>
      <c r="O28" s="47">
        <v>205</v>
      </c>
    </row>
    <row r="29" spans="1:15" ht="14.25" x14ac:dyDescent="0.2">
      <c r="A29" s="228">
        <v>66</v>
      </c>
      <c r="B29" s="46">
        <v>202.5</v>
      </c>
      <c r="C29" s="46">
        <v>280</v>
      </c>
      <c r="D29" s="46">
        <v>342.5</v>
      </c>
      <c r="E29" s="47">
        <f>F29-10</f>
        <v>392.5</v>
      </c>
      <c r="F29" s="47">
        <v>402.5</v>
      </c>
      <c r="G29" s="121"/>
      <c r="H29" s="121"/>
      <c r="J29" s="228">
        <v>52</v>
      </c>
      <c r="K29" s="46">
        <v>112.5</v>
      </c>
      <c r="L29" s="46">
        <v>155</v>
      </c>
      <c r="M29" s="46">
        <v>190</v>
      </c>
      <c r="N29" s="47">
        <f>O29-10</f>
        <v>212.5</v>
      </c>
      <c r="O29" s="47">
        <v>222.5</v>
      </c>
    </row>
    <row r="30" spans="1:15" ht="14.25" x14ac:dyDescent="0.2">
      <c r="A30" s="228">
        <v>74</v>
      </c>
      <c r="B30" s="46">
        <v>220</v>
      </c>
      <c r="C30" s="46">
        <v>310</v>
      </c>
      <c r="D30" s="46">
        <v>375</v>
      </c>
      <c r="E30" s="47">
        <f>F30-15</f>
        <v>427.5</v>
      </c>
      <c r="F30" s="47">
        <v>442.5</v>
      </c>
      <c r="G30" s="121"/>
      <c r="H30" s="121"/>
      <c r="J30" s="228">
        <v>57</v>
      </c>
      <c r="K30" s="46">
        <v>120</v>
      </c>
      <c r="L30" s="46">
        <v>167.5</v>
      </c>
      <c r="M30" s="46">
        <v>202.5</v>
      </c>
      <c r="N30" s="47">
        <f>O30-15</f>
        <v>225</v>
      </c>
      <c r="O30" s="47">
        <v>240</v>
      </c>
    </row>
    <row r="31" spans="1:15" ht="14.25" x14ac:dyDescent="0.2">
      <c r="A31" s="228">
        <v>83</v>
      </c>
      <c r="B31" s="46">
        <v>250</v>
      </c>
      <c r="C31" s="46">
        <v>350</v>
      </c>
      <c r="D31" s="46">
        <v>422.5</v>
      </c>
      <c r="E31" s="47">
        <f>F31-15</f>
        <v>482.5</v>
      </c>
      <c r="F31" s="47">
        <v>497.5</v>
      </c>
      <c r="G31" s="121"/>
      <c r="H31" s="121"/>
      <c r="J31" s="228">
        <v>63</v>
      </c>
      <c r="K31" s="46">
        <v>122.5</v>
      </c>
      <c r="L31" s="46">
        <v>170</v>
      </c>
      <c r="M31" s="46">
        <v>207.5</v>
      </c>
      <c r="N31" s="47">
        <f>O31-15</f>
        <v>227.5</v>
      </c>
      <c r="O31" s="47">
        <v>242.5</v>
      </c>
    </row>
    <row r="32" spans="1:15" ht="14.25" x14ac:dyDescent="0.2">
      <c r="A32" s="228">
        <v>93</v>
      </c>
      <c r="B32" s="46">
        <v>262.5</v>
      </c>
      <c r="C32" s="46">
        <v>367.5</v>
      </c>
      <c r="D32" s="46">
        <v>445</v>
      </c>
      <c r="E32" s="47">
        <f>F32-20</f>
        <v>505</v>
      </c>
      <c r="F32" s="47">
        <v>525</v>
      </c>
      <c r="G32" s="121"/>
      <c r="H32" s="121"/>
      <c r="J32" s="228">
        <v>69</v>
      </c>
      <c r="K32" s="46">
        <v>125</v>
      </c>
      <c r="L32" s="46">
        <v>175</v>
      </c>
      <c r="M32" s="46">
        <v>212.5</v>
      </c>
      <c r="N32" s="47">
        <f>O32-20</f>
        <v>230</v>
      </c>
      <c r="O32" s="47">
        <v>250</v>
      </c>
    </row>
    <row r="33" spans="1:15" ht="14.25" x14ac:dyDescent="0.2">
      <c r="A33" s="228">
        <v>105</v>
      </c>
      <c r="B33" s="46">
        <v>277.5</v>
      </c>
      <c r="C33" s="46">
        <v>390</v>
      </c>
      <c r="D33" s="46">
        <v>472.5</v>
      </c>
      <c r="E33" s="47">
        <f>F33-20</f>
        <v>535</v>
      </c>
      <c r="F33" s="47">
        <v>555</v>
      </c>
      <c r="G33" s="121"/>
      <c r="H33" s="121"/>
      <c r="J33" s="228">
        <v>76</v>
      </c>
      <c r="K33" s="46">
        <v>130</v>
      </c>
      <c r="L33" s="46">
        <v>180</v>
      </c>
      <c r="M33" s="46">
        <v>217.5</v>
      </c>
      <c r="N33" s="47">
        <f>O33-20</f>
        <v>237.5</v>
      </c>
      <c r="O33" s="47">
        <v>257.5</v>
      </c>
    </row>
    <row r="34" spans="1:15" ht="14.25" x14ac:dyDescent="0.2">
      <c r="A34" s="228">
        <v>120</v>
      </c>
      <c r="B34" s="46">
        <v>285</v>
      </c>
      <c r="C34" s="46">
        <v>400</v>
      </c>
      <c r="D34" s="46">
        <v>485</v>
      </c>
      <c r="E34" s="47">
        <f>F34-25</f>
        <v>547.5</v>
      </c>
      <c r="F34" s="47">
        <v>572.5</v>
      </c>
      <c r="G34" s="121"/>
      <c r="H34" s="121"/>
      <c r="J34" s="228">
        <v>84</v>
      </c>
      <c r="K34" s="46">
        <v>137.5</v>
      </c>
      <c r="L34" s="46">
        <v>190</v>
      </c>
      <c r="M34" s="46">
        <v>232.5</v>
      </c>
      <c r="N34" s="47">
        <f>O34-25</f>
        <v>247.5</v>
      </c>
      <c r="O34" s="47">
        <v>272.5</v>
      </c>
    </row>
    <row r="35" spans="1:15" ht="15" thickBot="1" x14ac:dyDescent="0.25">
      <c r="A35" s="229" t="s">
        <v>53</v>
      </c>
      <c r="B35" s="48">
        <v>305</v>
      </c>
      <c r="C35" s="48">
        <v>427.5</v>
      </c>
      <c r="D35" s="48">
        <v>520</v>
      </c>
      <c r="E35" s="49">
        <f>F35-30</f>
        <v>582.5</v>
      </c>
      <c r="F35" s="49">
        <v>612.5</v>
      </c>
      <c r="G35" s="121"/>
      <c r="I35" s="45"/>
      <c r="J35" s="229" t="s">
        <v>52</v>
      </c>
      <c r="K35" s="48">
        <v>145</v>
      </c>
      <c r="L35" s="48">
        <v>202.5</v>
      </c>
      <c r="M35" s="48">
        <v>247.5</v>
      </c>
      <c r="N35" s="49">
        <f>O35-30</f>
        <v>260</v>
      </c>
      <c r="O35" s="49">
        <v>290</v>
      </c>
    </row>
    <row r="36" spans="1:15" ht="16.5" thickBot="1" x14ac:dyDescent="0.3">
      <c r="A36" s="62"/>
      <c r="B36" s="99" t="s">
        <v>71</v>
      </c>
      <c r="C36" s="62"/>
      <c r="D36" s="62"/>
      <c r="E36" s="62"/>
      <c r="F36" s="62"/>
      <c r="H36" s="58"/>
      <c r="I36" s="59"/>
      <c r="J36" s="59"/>
      <c r="K36" s="59"/>
      <c r="L36" s="59"/>
    </row>
    <row r="37" spans="1:15" ht="19.5" thickBot="1" x14ac:dyDescent="0.25">
      <c r="A37" s="512" t="s">
        <v>91</v>
      </c>
      <c r="B37" s="513"/>
      <c r="C37" s="513"/>
      <c r="D37" s="513"/>
      <c r="E37" s="514"/>
      <c r="F37" s="123"/>
      <c r="J37" s="512" t="s">
        <v>88</v>
      </c>
      <c r="K37" s="513"/>
      <c r="L37" s="513"/>
      <c r="M37" s="513"/>
      <c r="N37" s="514"/>
    </row>
    <row r="38" spans="1:15" s="106" customFormat="1" ht="14.25" x14ac:dyDescent="0.2">
      <c r="A38" s="219" t="s">
        <v>51</v>
      </c>
      <c r="B38" s="197" t="s">
        <v>101</v>
      </c>
      <c r="C38" s="197" t="s">
        <v>102</v>
      </c>
      <c r="D38" s="197" t="s">
        <v>103</v>
      </c>
      <c r="E38" s="193" t="s">
        <v>115</v>
      </c>
      <c r="F38" s="193" t="s">
        <v>116</v>
      </c>
      <c r="G38" s="120"/>
      <c r="H38" s="120"/>
      <c r="J38" s="219" t="s">
        <v>51</v>
      </c>
      <c r="K38" s="197" t="s">
        <v>101</v>
      </c>
      <c r="L38" s="197" t="s">
        <v>102</v>
      </c>
      <c r="M38" s="197" t="s">
        <v>103</v>
      </c>
      <c r="N38" s="193" t="s">
        <v>115</v>
      </c>
      <c r="O38" s="193" t="s">
        <v>116</v>
      </c>
    </row>
    <row r="39" spans="1:15" ht="14.25" x14ac:dyDescent="0.2">
      <c r="A39" s="228">
        <v>59</v>
      </c>
      <c r="B39" s="46">
        <v>150</v>
      </c>
      <c r="C39" s="46">
        <v>212.5</v>
      </c>
      <c r="D39" s="46">
        <v>257.5</v>
      </c>
      <c r="E39" s="47">
        <f>F39-10</f>
        <v>292.5</v>
      </c>
      <c r="F39" s="47">
        <v>302.5</v>
      </c>
      <c r="G39" s="121"/>
      <c r="H39" s="121"/>
      <c r="J39" s="228">
        <v>47</v>
      </c>
      <c r="K39" s="46">
        <v>90</v>
      </c>
      <c r="L39" s="46">
        <v>127.5</v>
      </c>
      <c r="M39" s="46">
        <v>155</v>
      </c>
      <c r="N39" s="47">
        <f>O39-10</f>
        <v>172.5</v>
      </c>
      <c r="O39" s="47">
        <v>182.5</v>
      </c>
    </row>
    <row r="40" spans="1:15" ht="14.25" x14ac:dyDescent="0.2">
      <c r="A40" s="228">
        <v>66</v>
      </c>
      <c r="B40" s="46">
        <v>177.5</v>
      </c>
      <c r="C40" s="46">
        <v>250</v>
      </c>
      <c r="D40" s="46">
        <v>302.5</v>
      </c>
      <c r="E40" s="47">
        <f>F40-10</f>
        <v>347.5</v>
      </c>
      <c r="F40" s="47">
        <v>357.5</v>
      </c>
      <c r="G40" s="121"/>
      <c r="H40" s="121"/>
      <c r="J40" s="228">
        <v>52</v>
      </c>
      <c r="K40" s="46">
        <v>100</v>
      </c>
      <c r="L40" s="46">
        <v>140</v>
      </c>
      <c r="M40" s="46">
        <v>167.5</v>
      </c>
      <c r="N40" s="47">
        <f>O40-10</f>
        <v>187.5</v>
      </c>
      <c r="O40" s="47">
        <v>197.5</v>
      </c>
    </row>
    <row r="41" spans="1:15" ht="14.25" x14ac:dyDescent="0.2">
      <c r="A41" s="228">
        <v>74</v>
      </c>
      <c r="B41" s="46">
        <v>197.5</v>
      </c>
      <c r="C41" s="46">
        <v>275</v>
      </c>
      <c r="D41" s="46">
        <v>332.5</v>
      </c>
      <c r="E41" s="47">
        <f>F41-15</f>
        <v>377.5</v>
      </c>
      <c r="F41" s="47">
        <v>392.5</v>
      </c>
      <c r="G41" s="121"/>
      <c r="H41" s="121"/>
      <c r="J41" s="228">
        <v>57</v>
      </c>
      <c r="K41" s="46">
        <v>107.5</v>
      </c>
      <c r="L41" s="46">
        <v>147.5</v>
      </c>
      <c r="M41" s="46">
        <v>180</v>
      </c>
      <c r="N41" s="47">
        <f>O41-15</f>
        <v>197.5</v>
      </c>
      <c r="O41" s="47">
        <v>212.5</v>
      </c>
    </row>
    <row r="42" spans="1:15" ht="14.25" x14ac:dyDescent="0.2">
      <c r="A42" s="228">
        <v>83</v>
      </c>
      <c r="B42" s="46">
        <v>220</v>
      </c>
      <c r="C42" s="46">
        <v>310</v>
      </c>
      <c r="D42" s="46">
        <v>375</v>
      </c>
      <c r="E42" s="47">
        <f>F42-15</f>
        <v>427.5</v>
      </c>
      <c r="F42" s="47">
        <v>442.5</v>
      </c>
      <c r="G42" s="121"/>
      <c r="H42" s="121"/>
      <c r="J42" s="228">
        <v>63</v>
      </c>
      <c r="K42" s="46">
        <v>110</v>
      </c>
      <c r="L42" s="46">
        <v>152.5</v>
      </c>
      <c r="M42" s="46">
        <v>185</v>
      </c>
      <c r="N42" s="47">
        <f>O42-15</f>
        <v>202.5</v>
      </c>
      <c r="O42" s="47">
        <v>217.5</v>
      </c>
    </row>
    <row r="43" spans="1:15" ht="14.25" x14ac:dyDescent="0.2">
      <c r="A43" s="228">
        <v>93</v>
      </c>
      <c r="B43" s="46">
        <v>232.5</v>
      </c>
      <c r="C43" s="46">
        <v>327.5</v>
      </c>
      <c r="D43" s="46">
        <v>397.5</v>
      </c>
      <c r="E43" s="47">
        <f>F43-20</f>
        <v>447.5</v>
      </c>
      <c r="F43" s="47">
        <v>467.5</v>
      </c>
      <c r="G43" s="121"/>
      <c r="H43" s="121"/>
      <c r="J43" s="228">
        <v>69</v>
      </c>
      <c r="K43" s="46">
        <v>112.5</v>
      </c>
      <c r="L43" s="46">
        <v>157.5</v>
      </c>
      <c r="M43" s="46">
        <v>190</v>
      </c>
      <c r="N43" s="47">
        <f>O43-20</f>
        <v>205</v>
      </c>
      <c r="O43" s="47">
        <v>225</v>
      </c>
    </row>
    <row r="44" spans="1:15" ht="14.25" x14ac:dyDescent="0.2">
      <c r="A44" s="228">
        <v>105</v>
      </c>
      <c r="B44" s="46">
        <v>245</v>
      </c>
      <c r="C44" s="46">
        <v>345</v>
      </c>
      <c r="D44" s="46">
        <v>417.5</v>
      </c>
      <c r="E44" s="47">
        <f>F44-20</f>
        <v>472.5</v>
      </c>
      <c r="F44" s="47">
        <v>492.5</v>
      </c>
      <c r="G44" s="121"/>
      <c r="H44" s="121"/>
      <c r="J44" s="228">
        <v>76</v>
      </c>
      <c r="K44" s="46">
        <v>115</v>
      </c>
      <c r="L44" s="46">
        <v>160</v>
      </c>
      <c r="M44" s="46">
        <v>195</v>
      </c>
      <c r="N44" s="47">
        <f>O44-20</f>
        <v>210</v>
      </c>
      <c r="O44" s="47">
        <v>230</v>
      </c>
    </row>
    <row r="45" spans="1:15" ht="14.25" x14ac:dyDescent="0.2">
      <c r="A45" s="228">
        <v>120</v>
      </c>
      <c r="B45" s="46">
        <v>255</v>
      </c>
      <c r="C45" s="46">
        <v>355</v>
      </c>
      <c r="D45" s="46">
        <v>430</v>
      </c>
      <c r="E45" s="47">
        <f>F45-25</f>
        <v>482.5</v>
      </c>
      <c r="F45" s="47">
        <v>507.5</v>
      </c>
      <c r="G45" s="121"/>
      <c r="H45" s="121"/>
      <c r="J45" s="228">
        <v>84</v>
      </c>
      <c r="K45" s="46">
        <v>120</v>
      </c>
      <c r="L45" s="46">
        <v>170</v>
      </c>
      <c r="M45" s="46">
        <v>207.5</v>
      </c>
      <c r="N45" s="47">
        <f>O45-25</f>
        <v>217.5</v>
      </c>
      <c r="O45" s="47">
        <v>242.5</v>
      </c>
    </row>
    <row r="46" spans="1:15" ht="15" thickBot="1" x14ac:dyDescent="0.25">
      <c r="A46" s="229" t="s">
        <v>53</v>
      </c>
      <c r="B46" s="48">
        <v>272.5</v>
      </c>
      <c r="C46" s="48">
        <v>380</v>
      </c>
      <c r="D46" s="48">
        <v>462.5</v>
      </c>
      <c r="E46" s="49">
        <f>F46-30</f>
        <v>515</v>
      </c>
      <c r="F46" s="49">
        <v>545</v>
      </c>
      <c r="G46" s="121"/>
      <c r="I46" s="45"/>
      <c r="J46" s="229" t="s">
        <v>52</v>
      </c>
      <c r="K46" s="48">
        <v>127.5</v>
      </c>
      <c r="L46" s="48">
        <v>180</v>
      </c>
      <c r="M46" s="48">
        <v>217.5</v>
      </c>
      <c r="N46" s="49">
        <f>O46-30</f>
        <v>227.5</v>
      </c>
      <c r="O46" s="49">
        <v>257.5</v>
      </c>
    </row>
    <row r="47" spans="1:15" ht="16.5" thickBot="1" x14ac:dyDescent="0.3">
      <c r="A47" s="62"/>
      <c r="B47" s="99" t="s">
        <v>71</v>
      </c>
      <c r="C47" s="62"/>
      <c r="D47" s="62"/>
      <c r="E47" s="62"/>
      <c r="F47" s="62"/>
      <c r="H47" s="58"/>
      <c r="I47" s="59"/>
      <c r="J47" s="59"/>
      <c r="K47" s="59"/>
      <c r="L47" s="59"/>
      <c r="M47" s="97"/>
    </row>
    <row r="48" spans="1:15" ht="19.5" thickBot="1" x14ac:dyDescent="0.35">
      <c r="A48" s="512" t="s">
        <v>90</v>
      </c>
      <c r="B48" s="513"/>
      <c r="C48" s="513"/>
      <c r="D48" s="513"/>
      <c r="E48" s="514"/>
      <c r="F48" s="119"/>
      <c r="J48" s="512" t="s">
        <v>89</v>
      </c>
      <c r="K48" s="513"/>
      <c r="L48" s="513"/>
      <c r="M48" s="513"/>
      <c r="N48" s="514"/>
    </row>
    <row r="49" spans="1:15" s="106" customFormat="1" ht="14.25" x14ac:dyDescent="0.2">
      <c r="A49" s="219" t="s">
        <v>51</v>
      </c>
      <c r="B49" s="197" t="s">
        <v>101</v>
      </c>
      <c r="C49" s="197" t="s">
        <v>102</v>
      </c>
      <c r="D49" s="197" t="s">
        <v>103</v>
      </c>
      <c r="E49" s="193" t="s">
        <v>115</v>
      </c>
      <c r="F49" s="193" t="s">
        <v>116</v>
      </c>
      <c r="G49" s="120"/>
      <c r="H49" s="120"/>
      <c r="J49" s="219" t="s">
        <v>51</v>
      </c>
      <c r="K49" s="197" t="s">
        <v>101</v>
      </c>
      <c r="L49" s="197" t="s">
        <v>102</v>
      </c>
      <c r="M49" s="197" t="s">
        <v>103</v>
      </c>
      <c r="N49" s="193" t="s">
        <v>115</v>
      </c>
      <c r="O49" s="193" t="s">
        <v>116</v>
      </c>
    </row>
    <row r="50" spans="1:15" ht="14.25" x14ac:dyDescent="0.2">
      <c r="A50" s="228">
        <v>59</v>
      </c>
      <c r="B50" s="46">
        <v>112.5</v>
      </c>
      <c r="C50" s="46">
        <v>160</v>
      </c>
      <c r="D50" s="46">
        <v>192.5</v>
      </c>
      <c r="E50" s="47">
        <f>F50-10</f>
        <v>217.5</v>
      </c>
      <c r="F50" s="47">
        <v>227.5</v>
      </c>
      <c r="G50" s="121"/>
      <c r="H50" s="121"/>
      <c r="J50" s="228">
        <v>47</v>
      </c>
      <c r="K50" s="46">
        <v>67.5</v>
      </c>
      <c r="L50" s="46">
        <v>97.5</v>
      </c>
      <c r="M50" s="46">
        <v>115</v>
      </c>
      <c r="N50" s="47">
        <f>O50-10</f>
        <v>127.5</v>
      </c>
      <c r="O50" s="47">
        <v>137.5</v>
      </c>
    </row>
    <row r="51" spans="1:15" ht="14.25" x14ac:dyDescent="0.2">
      <c r="A51" s="228">
        <v>66</v>
      </c>
      <c r="B51" s="46">
        <v>132.5</v>
      </c>
      <c r="C51" s="46">
        <v>187.5</v>
      </c>
      <c r="D51" s="46">
        <v>227.5</v>
      </c>
      <c r="E51" s="47">
        <f>F51-10</f>
        <v>257.5</v>
      </c>
      <c r="F51" s="47">
        <v>267.5</v>
      </c>
      <c r="G51" s="121"/>
      <c r="H51" s="121"/>
      <c r="J51" s="228">
        <v>52</v>
      </c>
      <c r="K51" s="46">
        <v>72.5</v>
      </c>
      <c r="L51" s="46">
        <v>102.5</v>
      </c>
      <c r="M51" s="46">
        <v>125</v>
      </c>
      <c r="N51" s="47">
        <f>O51-10</f>
        <v>137.5</v>
      </c>
      <c r="O51" s="47">
        <v>147.5</v>
      </c>
    </row>
    <row r="52" spans="1:15" ht="14.25" x14ac:dyDescent="0.2">
      <c r="A52" s="228">
        <v>74</v>
      </c>
      <c r="B52" s="46">
        <v>147.5</v>
      </c>
      <c r="C52" s="46">
        <v>205</v>
      </c>
      <c r="D52" s="46">
        <v>250</v>
      </c>
      <c r="E52" s="47">
        <f>F52-15</f>
        <v>280</v>
      </c>
      <c r="F52" s="47">
        <v>295</v>
      </c>
      <c r="G52" s="121"/>
      <c r="H52" s="121"/>
      <c r="J52" s="228">
        <v>57</v>
      </c>
      <c r="K52" s="46">
        <v>80</v>
      </c>
      <c r="L52" s="46">
        <v>112.5</v>
      </c>
      <c r="M52" s="46">
        <v>135</v>
      </c>
      <c r="N52" s="47">
        <f>O52-15</f>
        <v>145</v>
      </c>
      <c r="O52" s="47">
        <v>160</v>
      </c>
    </row>
    <row r="53" spans="1:15" ht="14.25" x14ac:dyDescent="0.2">
      <c r="A53" s="228">
        <v>83</v>
      </c>
      <c r="B53" s="46">
        <v>165</v>
      </c>
      <c r="C53" s="46">
        <v>230</v>
      </c>
      <c r="D53" s="46">
        <v>280</v>
      </c>
      <c r="E53" s="47">
        <f>F53-15</f>
        <v>315</v>
      </c>
      <c r="F53" s="47">
        <v>330</v>
      </c>
      <c r="G53" s="121"/>
      <c r="H53" s="121"/>
      <c r="J53" s="228">
        <v>63</v>
      </c>
      <c r="K53" s="46">
        <v>82.5</v>
      </c>
      <c r="L53" s="46">
        <v>115</v>
      </c>
      <c r="M53" s="46">
        <v>137.5</v>
      </c>
      <c r="N53" s="47">
        <f>O53-15</f>
        <v>147.5</v>
      </c>
      <c r="O53" s="47">
        <v>162.5</v>
      </c>
    </row>
    <row r="54" spans="1:15" ht="14.25" x14ac:dyDescent="0.2">
      <c r="A54" s="228">
        <v>93</v>
      </c>
      <c r="B54" s="46">
        <v>175</v>
      </c>
      <c r="C54" s="46">
        <v>244.99999999999997</v>
      </c>
      <c r="D54" s="46">
        <v>297.5</v>
      </c>
      <c r="E54" s="47">
        <f>F54-20</f>
        <v>330</v>
      </c>
      <c r="F54" s="47">
        <v>350</v>
      </c>
      <c r="G54" s="121"/>
      <c r="H54" s="121"/>
      <c r="J54" s="228">
        <v>69</v>
      </c>
      <c r="K54" s="46">
        <v>85</v>
      </c>
      <c r="L54" s="46">
        <v>117.5</v>
      </c>
      <c r="M54" s="46">
        <v>142.5</v>
      </c>
      <c r="N54" s="47">
        <f>O54-15</f>
        <v>152.5</v>
      </c>
      <c r="O54" s="47">
        <v>167.5</v>
      </c>
    </row>
    <row r="55" spans="1:15" ht="14.25" x14ac:dyDescent="0.2">
      <c r="A55" s="228">
        <v>105</v>
      </c>
      <c r="B55" s="46">
        <v>185</v>
      </c>
      <c r="C55" s="46">
        <v>260</v>
      </c>
      <c r="D55" s="46">
        <v>315</v>
      </c>
      <c r="E55" s="47">
        <f>F55-20</f>
        <v>350</v>
      </c>
      <c r="F55" s="47">
        <v>370</v>
      </c>
      <c r="G55" s="121"/>
      <c r="H55" s="121"/>
      <c r="J55" s="228">
        <v>76</v>
      </c>
      <c r="K55" s="46">
        <v>87.5</v>
      </c>
      <c r="L55" s="46">
        <v>120</v>
      </c>
      <c r="M55" s="46">
        <v>145</v>
      </c>
      <c r="N55" s="47">
        <f>O55-15</f>
        <v>157.5</v>
      </c>
      <c r="O55" s="47">
        <v>172.5</v>
      </c>
    </row>
    <row r="56" spans="1:15" ht="14.25" x14ac:dyDescent="0.2">
      <c r="A56" s="228">
        <v>120</v>
      </c>
      <c r="B56" s="46">
        <v>190</v>
      </c>
      <c r="C56" s="46">
        <v>267.5</v>
      </c>
      <c r="D56" s="46">
        <v>322.5</v>
      </c>
      <c r="E56" s="47">
        <f>F56-25</f>
        <v>355</v>
      </c>
      <c r="F56" s="47">
        <v>380</v>
      </c>
      <c r="G56" s="121"/>
      <c r="H56" s="121"/>
      <c r="J56" s="228">
        <v>84</v>
      </c>
      <c r="K56" s="46">
        <v>92.5</v>
      </c>
      <c r="L56" s="46">
        <v>127.5</v>
      </c>
      <c r="M56" s="46">
        <v>155</v>
      </c>
      <c r="N56" s="47">
        <f>O56-20</f>
        <v>162.5</v>
      </c>
      <c r="O56" s="47">
        <v>182.5</v>
      </c>
    </row>
    <row r="57" spans="1:15" ht="15.75" thickBot="1" x14ac:dyDescent="0.3">
      <c r="A57" s="229" t="s">
        <v>53</v>
      </c>
      <c r="B57" s="48">
        <v>202.5</v>
      </c>
      <c r="C57" s="48">
        <v>285</v>
      </c>
      <c r="D57" s="48">
        <v>345</v>
      </c>
      <c r="E57" s="49">
        <f>F57-30</f>
        <v>377.5</v>
      </c>
      <c r="F57" s="49">
        <v>407.5</v>
      </c>
      <c r="G57" s="121"/>
      <c r="I57" s="63"/>
      <c r="J57" s="229" t="s">
        <v>52</v>
      </c>
      <c r="K57" s="48">
        <v>97.5</v>
      </c>
      <c r="L57" s="48">
        <v>137.5</v>
      </c>
      <c r="M57" s="48">
        <v>165</v>
      </c>
      <c r="N57" s="49">
        <f>O57-20</f>
        <v>175</v>
      </c>
      <c r="O57" s="49">
        <v>195</v>
      </c>
    </row>
  </sheetData>
  <sheetProtection sheet="1" objects="1" scenarios="1"/>
  <mergeCells count="14">
    <mergeCell ref="A1:L1"/>
    <mergeCell ref="A2:L2"/>
    <mergeCell ref="D4:H4"/>
    <mergeCell ref="J4:M4"/>
    <mergeCell ref="N4:Q4"/>
    <mergeCell ref="A4:C4"/>
    <mergeCell ref="A15:E15"/>
    <mergeCell ref="A26:E26"/>
    <mergeCell ref="A37:E37"/>
    <mergeCell ref="A48:E48"/>
    <mergeCell ref="J26:N26"/>
    <mergeCell ref="J37:N37"/>
    <mergeCell ref="J15:N15"/>
    <mergeCell ref="J48:N48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pageSetUpPr fitToPage="1"/>
  </sheetPr>
  <dimension ref="A1:M92"/>
  <sheetViews>
    <sheetView zoomScale="75" workbookViewId="0">
      <selection activeCell="M1" sqref="M1"/>
    </sheetView>
  </sheetViews>
  <sheetFormatPr baseColWidth="10" defaultColWidth="11.42578125" defaultRowHeight="15" x14ac:dyDescent="0.2"/>
  <cols>
    <col min="1" max="1" width="14.5703125" style="65" customWidth="1"/>
    <col min="2" max="2" width="14.5703125" style="66" customWidth="1"/>
    <col min="3" max="3" width="3.42578125" style="66" customWidth="1"/>
    <col min="4" max="4" width="14.5703125" style="65" customWidth="1"/>
    <col min="5" max="5" width="14.5703125" style="66" customWidth="1"/>
    <col min="6" max="6" width="11.85546875" style="60" customWidth="1"/>
    <col min="7" max="8" width="14.5703125" customWidth="1"/>
    <col min="9" max="9" width="3.85546875" customWidth="1"/>
    <col min="10" max="11" width="14.5703125" customWidth="1"/>
    <col min="12" max="12" width="11.42578125" style="60" customWidth="1"/>
    <col min="13" max="13" width="46.85546875" style="60" customWidth="1"/>
    <col min="14" max="16384" width="11.42578125" style="60"/>
  </cols>
  <sheetData>
    <row r="1" spans="1:13" s="64" customFormat="1" ht="44.25" customHeight="1" x14ac:dyDescent="0.2">
      <c r="A1" s="528" t="s">
        <v>427</v>
      </c>
      <c r="B1" s="529"/>
      <c r="C1" s="529"/>
      <c r="D1" s="529"/>
      <c r="E1" s="530"/>
      <c r="G1" s="533" t="s">
        <v>428</v>
      </c>
      <c r="H1" s="534"/>
      <c r="I1" s="534"/>
      <c r="J1" s="534"/>
      <c r="K1" s="535"/>
    </row>
    <row r="2" spans="1:13" ht="15.75" thickBot="1" x14ac:dyDescent="0.25">
      <c r="G2" s="155"/>
      <c r="H2" s="156"/>
      <c r="I2" s="156"/>
      <c r="J2" s="155"/>
      <c r="K2" s="156"/>
    </row>
    <row r="3" spans="1:13" ht="32.25" customHeight="1" thickBot="1" x14ac:dyDescent="0.25">
      <c r="A3" s="531" t="s">
        <v>62</v>
      </c>
      <c r="B3" s="532"/>
      <c r="D3" s="531" t="s">
        <v>63</v>
      </c>
      <c r="E3" s="532"/>
      <c r="G3" s="531" t="s">
        <v>62</v>
      </c>
      <c r="H3" s="532"/>
      <c r="I3" s="156"/>
      <c r="J3" s="531" t="s">
        <v>63</v>
      </c>
      <c r="K3" s="532"/>
      <c r="M3" s="67" t="s">
        <v>72</v>
      </c>
    </row>
    <row r="4" spans="1:13" s="71" customFormat="1" ht="31.5" x14ac:dyDescent="0.2">
      <c r="A4" s="68" t="s">
        <v>30</v>
      </c>
      <c r="B4" s="69" t="s">
        <v>109</v>
      </c>
      <c r="C4" s="70"/>
      <c r="D4" s="68" t="s">
        <v>30</v>
      </c>
      <c r="E4" s="69" t="s">
        <v>109</v>
      </c>
      <c r="G4" s="157" t="s">
        <v>30</v>
      </c>
      <c r="H4" s="158" t="s">
        <v>109</v>
      </c>
      <c r="I4" s="159"/>
      <c r="J4" s="157" t="s">
        <v>30</v>
      </c>
      <c r="K4" s="158" t="s">
        <v>109</v>
      </c>
      <c r="L4" s="72"/>
      <c r="M4" s="83"/>
    </row>
    <row r="5" spans="1:13" s="71" customFormat="1" ht="15.75" x14ac:dyDescent="0.2">
      <c r="A5" s="73">
        <v>42370</v>
      </c>
      <c r="B5" s="74" t="s">
        <v>31</v>
      </c>
      <c r="C5" s="70"/>
      <c r="D5" s="73">
        <v>42370</v>
      </c>
      <c r="E5" s="74" t="s">
        <v>31</v>
      </c>
      <c r="G5" s="73">
        <v>42370</v>
      </c>
      <c r="H5" s="98" t="s">
        <v>31</v>
      </c>
      <c r="I5" s="159"/>
      <c r="J5" s="73">
        <v>42370</v>
      </c>
      <c r="K5" s="98" t="s">
        <v>31</v>
      </c>
      <c r="L5" s="72"/>
      <c r="M5" s="84" t="s">
        <v>56</v>
      </c>
    </row>
    <row r="6" spans="1:13" s="71" customFormat="1" ht="15.75" x14ac:dyDescent="0.2">
      <c r="A6" s="73">
        <v>42005</v>
      </c>
      <c r="B6" s="74" t="s">
        <v>31</v>
      </c>
      <c r="C6" s="70"/>
      <c r="D6" s="73">
        <v>42005</v>
      </c>
      <c r="E6" s="74" t="s">
        <v>31</v>
      </c>
      <c r="G6" s="73">
        <v>42005</v>
      </c>
      <c r="H6" s="98" t="s">
        <v>31</v>
      </c>
      <c r="I6" s="159"/>
      <c r="J6" s="73">
        <v>42005</v>
      </c>
      <c r="K6" s="98" t="s">
        <v>31</v>
      </c>
      <c r="L6" s="72"/>
      <c r="M6" s="84" t="s">
        <v>57</v>
      </c>
    </row>
    <row r="7" spans="1:13" s="71" customFormat="1" ht="15.75" x14ac:dyDescent="0.2">
      <c r="A7" s="73">
        <v>41640</v>
      </c>
      <c r="B7" s="74" t="s">
        <v>31</v>
      </c>
      <c r="C7" s="70"/>
      <c r="D7" s="73">
        <v>41640</v>
      </c>
      <c r="E7" s="74" t="s">
        <v>31</v>
      </c>
      <c r="G7" s="73">
        <v>41640</v>
      </c>
      <c r="H7" s="98" t="s">
        <v>31</v>
      </c>
      <c r="I7" s="159"/>
      <c r="J7" s="73">
        <v>41640</v>
      </c>
      <c r="K7" s="98" t="s">
        <v>31</v>
      </c>
      <c r="L7" s="72"/>
      <c r="M7" s="85" t="s">
        <v>42</v>
      </c>
    </row>
    <row r="8" spans="1:13" s="71" customFormat="1" ht="15.75" x14ac:dyDescent="0.2">
      <c r="A8" s="73">
        <v>41275</v>
      </c>
      <c r="B8" s="74" t="s">
        <v>31</v>
      </c>
      <c r="C8" s="70"/>
      <c r="D8" s="73">
        <v>41275</v>
      </c>
      <c r="E8" s="74" t="s">
        <v>31</v>
      </c>
      <c r="G8" s="73">
        <v>41275</v>
      </c>
      <c r="H8" s="98" t="s">
        <v>31</v>
      </c>
      <c r="I8" s="159"/>
      <c r="J8" s="73">
        <v>41275</v>
      </c>
      <c r="K8" s="98" t="s">
        <v>31</v>
      </c>
      <c r="L8" s="72"/>
      <c r="M8" s="84" t="s">
        <v>66</v>
      </c>
    </row>
    <row r="9" spans="1:13" s="71" customFormat="1" ht="15.75" x14ac:dyDescent="0.2">
      <c r="A9" s="73">
        <v>40909</v>
      </c>
      <c r="B9" s="74" t="s">
        <v>31</v>
      </c>
      <c r="C9" s="70"/>
      <c r="D9" s="73">
        <v>40909</v>
      </c>
      <c r="E9" s="74" t="s">
        <v>31</v>
      </c>
      <c r="G9" s="73">
        <v>40909</v>
      </c>
      <c r="H9" s="98" t="s">
        <v>81</v>
      </c>
      <c r="I9" s="159"/>
      <c r="J9" s="73">
        <v>40909</v>
      </c>
      <c r="K9" s="98" t="s">
        <v>31</v>
      </c>
      <c r="L9" s="72"/>
      <c r="M9" s="85" t="s">
        <v>58</v>
      </c>
    </row>
    <row r="10" spans="1:13" s="71" customFormat="1" ht="15.75" x14ac:dyDescent="0.2">
      <c r="A10" s="73">
        <v>40544</v>
      </c>
      <c r="B10" s="74" t="s">
        <v>81</v>
      </c>
      <c r="C10" s="70"/>
      <c r="D10" s="73">
        <v>40544</v>
      </c>
      <c r="E10" s="74" t="s">
        <v>31</v>
      </c>
      <c r="G10" s="73">
        <v>40544</v>
      </c>
      <c r="H10" s="98" t="s">
        <v>81</v>
      </c>
      <c r="I10" s="159"/>
      <c r="J10" s="73">
        <v>40544</v>
      </c>
      <c r="K10" s="98" t="s">
        <v>31</v>
      </c>
      <c r="L10" s="72"/>
      <c r="M10" s="85" t="s">
        <v>67</v>
      </c>
    </row>
    <row r="11" spans="1:13" s="71" customFormat="1" ht="15.75" x14ac:dyDescent="0.2">
      <c r="A11" s="73">
        <v>40179</v>
      </c>
      <c r="B11" s="74" t="s">
        <v>81</v>
      </c>
      <c r="C11" s="70"/>
      <c r="D11" s="73">
        <v>40179</v>
      </c>
      <c r="E11" s="74" t="s">
        <v>31</v>
      </c>
      <c r="G11" s="73">
        <v>40179</v>
      </c>
      <c r="H11" s="98" t="s">
        <v>81</v>
      </c>
      <c r="I11" s="159"/>
      <c r="J11" s="73">
        <v>40179</v>
      </c>
      <c r="K11" s="98" t="s">
        <v>31</v>
      </c>
      <c r="L11" s="72"/>
      <c r="M11" s="85" t="s">
        <v>43</v>
      </c>
    </row>
    <row r="12" spans="1:13" ht="15.75" x14ac:dyDescent="0.2">
      <c r="A12" s="73">
        <v>39814</v>
      </c>
      <c r="B12" s="74" t="s">
        <v>81</v>
      </c>
      <c r="C12" s="70"/>
      <c r="D12" s="73">
        <v>39814</v>
      </c>
      <c r="E12" s="74" t="s">
        <v>31</v>
      </c>
      <c r="F12" s="71"/>
      <c r="G12" s="73">
        <v>39814</v>
      </c>
      <c r="H12" s="98" t="s">
        <v>81</v>
      </c>
      <c r="I12" s="159"/>
      <c r="J12" s="73">
        <v>39814</v>
      </c>
      <c r="K12" s="98" t="s">
        <v>31</v>
      </c>
      <c r="M12" s="85" t="s">
        <v>44</v>
      </c>
    </row>
    <row r="13" spans="1:13" ht="15.75" x14ac:dyDescent="0.2">
      <c r="A13" s="73">
        <v>39448</v>
      </c>
      <c r="B13" s="74" t="s">
        <v>81</v>
      </c>
      <c r="C13" s="70"/>
      <c r="D13" s="73">
        <v>39448</v>
      </c>
      <c r="E13" s="74" t="s">
        <v>31</v>
      </c>
      <c r="F13" s="71"/>
      <c r="G13" s="73">
        <v>39448</v>
      </c>
      <c r="H13" s="98" t="s">
        <v>81</v>
      </c>
      <c r="I13" s="159"/>
      <c r="J13" s="73">
        <v>39448</v>
      </c>
      <c r="K13" s="98" t="s">
        <v>31</v>
      </c>
      <c r="M13" s="84" t="s">
        <v>68</v>
      </c>
    </row>
    <row r="14" spans="1:13" ht="15.75" x14ac:dyDescent="0.2">
      <c r="A14" s="73">
        <v>39083</v>
      </c>
      <c r="B14" s="74" t="s">
        <v>81</v>
      </c>
      <c r="C14" s="70"/>
      <c r="D14" s="73">
        <v>39083</v>
      </c>
      <c r="E14" s="74" t="s">
        <v>31</v>
      </c>
      <c r="F14" s="71"/>
      <c r="G14" s="73">
        <v>39083</v>
      </c>
      <c r="H14" s="98" t="s">
        <v>75</v>
      </c>
      <c r="I14" s="159"/>
      <c r="J14" s="73">
        <v>39083</v>
      </c>
      <c r="K14" s="98" t="s">
        <v>75</v>
      </c>
      <c r="M14" s="84" t="s">
        <v>45</v>
      </c>
    </row>
    <row r="15" spans="1:13" ht="15.75" x14ac:dyDescent="0.2">
      <c r="A15" s="73">
        <v>38718</v>
      </c>
      <c r="B15" s="74" t="s">
        <v>75</v>
      </c>
      <c r="C15" s="70"/>
      <c r="D15" s="73">
        <v>38718</v>
      </c>
      <c r="E15" s="74" t="s">
        <v>75</v>
      </c>
      <c r="F15" s="71"/>
      <c r="G15" s="73">
        <v>38718</v>
      </c>
      <c r="H15" s="98" t="s">
        <v>75</v>
      </c>
      <c r="I15" s="159"/>
      <c r="J15" s="73">
        <v>38718</v>
      </c>
      <c r="K15" s="98" t="s">
        <v>75</v>
      </c>
      <c r="M15" s="84" t="s">
        <v>59</v>
      </c>
    </row>
    <row r="16" spans="1:13" ht="15.75" x14ac:dyDescent="0.2">
      <c r="A16" s="73">
        <v>38353</v>
      </c>
      <c r="B16" s="74" t="s">
        <v>75</v>
      </c>
      <c r="C16" s="70"/>
      <c r="D16" s="73">
        <v>38353</v>
      </c>
      <c r="E16" s="74" t="s">
        <v>75</v>
      </c>
      <c r="G16" s="73">
        <v>38353</v>
      </c>
      <c r="H16" s="98" t="s">
        <v>75</v>
      </c>
      <c r="I16" s="159"/>
      <c r="J16" s="73">
        <v>38353</v>
      </c>
      <c r="K16" s="98" t="s">
        <v>75</v>
      </c>
      <c r="M16" s="154" t="s">
        <v>104</v>
      </c>
    </row>
    <row r="17" spans="1:13" ht="15.75" x14ac:dyDescent="0.2">
      <c r="A17" s="73">
        <v>37987</v>
      </c>
      <c r="B17" s="74" t="s">
        <v>75</v>
      </c>
      <c r="C17" s="70"/>
      <c r="D17" s="73">
        <v>37987</v>
      </c>
      <c r="E17" s="74" t="s">
        <v>75</v>
      </c>
      <c r="G17" s="73">
        <v>37987</v>
      </c>
      <c r="H17" s="98" t="s">
        <v>75</v>
      </c>
      <c r="I17" s="159"/>
      <c r="J17" s="73">
        <v>37987</v>
      </c>
      <c r="K17" s="98" t="s">
        <v>75</v>
      </c>
      <c r="M17" s="85" t="s">
        <v>46</v>
      </c>
    </row>
    <row r="18" spans="1:13" ht="15.75" x14ac:dyDescent="0.2">
      <c r="A18" s="73">
        <v>37622</v>
      </c>
      <c r="B18" s="74" t="s">
        <v>75</v>
      </c>
      <c r="C18" s="70"/>
      <c r="D18" s="73">
        <v>37622</v>
      </c>
      <c r="E18" s="74" t="s">
        <v>75</v>
      </c>
      <c r="G18" s="73">
        <v>37622</v>
      </c>
      <c r="H18" s="98" t="s">
        <v>75</v>
      </c>
      <c r="I18" s="159"/>
      <c r="J18" s="73">
        <v>37622</v>
      </c>
      <c r="K18" s="98" t="s">
        <v>75</v>
      </c>
      <c r="M18" s="85" t="s">
        <v>47</v>
      </c>
    </row>
    <row r="19" spans="1:13" ht="15.75" x14ac:dyDescent="0.2">
      <c r="A19" s="73">
        <v>37257</v>
      </c>
      <c r="B19" s="74" t="s">
        <v>75</v>
      </c>
      <c r="C19" s="70"/>
      <c r="D19" s="73">
        <v>37257</v>
      </c>
      <c r="E19" s="74" t="s">
        <v>75</v>
      </c>
      <c r="G19" s="73">
        <v>37257</v>
      </c>
      <c r="H19" s="98" t="s">
        <v>76</v>
      </c>
      <c r="I19" s="159"/>
      <c r="J19" s="73">
        <v>37257</v>
      </c>
      <c r="K19" s="98" t="s">
        <v>76</v>
      </c>
      <c r="M19" s="84" t="s">
        <v>69</v>
      </c>
    </row>
    <row r="20" spans="1:13" ht="15.75" x14ac:dyDescent="0.2">
      <c r="A20" s="73">
        <v>36892</v>
      </c>
      <c r="B20" s="74" t="s">
        <v>76</v>
      </c>
      <c r="C20" s="70"/>
      <c r="D20" s="73">
        <v>36892</v>
      </c>
      <c r="E20" s="74" t="s">
        <v>76</v>
      </c>
      <c r="G20" s="73">
        <v>36892</v>
      </c>
      <c r="H20" s="98" t="s">
        <v>76</v>
      </c>
      <c r="I20" s="159"/>
      <c r="J20" s="73">
        <v>36892</v>
      </c>
      <c r="K20" s="98" t="s">
        <v>76</v>
      </c>
      <c r="M20" s="85" t="s">
        <v>48</v>
      </c>
    </row>
    <row r="21" spans="1:13" ht="15.75" x14ac:dyDescent="0.2">
      <c r="A21" s="73">
        <v>36526</v>
      </c>
      <c r="B21" s="74" t="s">
        <v>76</v>
      </c>
      <c r="C21" s="70"/>
      <c r="D21" s="73">
        <v>36526</v>
      </c>
      <c r="E21" s="74" t="s">
        <v>76</v>
      </c>
      <c r="G21" s="73">
        <v>36526</v>
      </c>
      <c r="H21" s="98" t="s">
        <v>76</v>
      </c>
      <c r="I21" s="156"/>
      <c r="J21" s="73">
        <v>36526</v>
      </c>
      <c r="K21" s="98" t="s">
        <v>76</v>
      </c>
      <c r="M21" s="84" t="s">
        <v>60</v>
      </c>
    </row>
    <row r="22" spans="1:13" ht="15.75" x14ac:dyDescent="0.2">
      <c r="A22" s="73">
        <v>36161</v>
      </c>
      <c r="B22" s="74" t="s">
        <v>76</v>
      </c>
      <c r="C22" s="70"/>
      <c r="D22" s="73">
        <v>36161</v>
      </c>
      <c r="E22" s="74" t="s">
        <v>76</v>
      </c>
      <c r="G22" s="73">
        <v>36161</v>
      </c>
      <c r="H22" s="98" t="s">
        <v>76</v>
      </c>
      <c r="I22" s="156"/>
      <c r="J22" s="73">
        <v>36161</v>
      </c>
      <c r="K22" s="98" t="s">
        <v>76</v>
      </c>
      <c r="M22" s="84" t="s">
        <v>70</v>
      </c>
    </row>
    <row r="23" spans="1:13" ht="15.75" x14ac:dyDescent="0.2">
      <c r="A23" s="73">
        <v>35796</v>
      </c>
      <c r="B23" s="74" t="s">
        <v>76</v>
      </c>
      <c r="C23" s="70"/>
      <c r="D23" s="73">
        <v>35796</v>
      </c>
      <c r="E23" s="74" t="s">
        <v>76</v>
      </c>
      <c r="G23" s="73">
        <v>35796</v>
      </c>
      <c r="H23" s="98" t="s">
        <v>76</v>
      </c>
      <c r="I23" s="156"/>
      <c r="J23" s="73">
        <v>35796</v>
      </c>
      <c r="K23" s="98" t="s">
        <v>76</v>
      </c>
      <c r="L23" s="75"/>
      <c r="M23" s="84" t="s">
        <v>49</v>
      </c>
    </row>
    <row r="24" spans="1:13" x14ac:dyDescent="0.2">
      <c r="A24" s="73">
        <v>35431</v>
      </c>
      <c r="B24" s="74" t="s">
        <v>76</v>
      </c>
      <c r="D24" s="73">
        <v>35431</v>
      </c>
      <c r="E24" s="74" t="s">
        <v>76</v>
      </c>
      <c r="G24" s="73">
        <v>35431</v>
      </c>
      <c r="H24" s="98" t="s">
        <v>76</v>
      </c>
      <c r="I24" s="156"/>
      <c r="J24" s="73">
        <v>35431</v>
      </c>
      <c r="K24" s="98" t="s">
        <v>76</v>
      </c>
      <c r="M24" s="84" t="s">
        <v>61</v>
      </c>
    </row>
    <row r="25" spans="1:13" ht="15.75" thickBot="1" x14ac:dyDescent="0.25">
      <c r="A25" s="73">
        <v>35065</v>
      </c>
      <c r="B25" s="74" t="s">
        <v>76</v>
      </c>
      <c r="D25" s="73">
        <v>35065</v>
      </c>
      <c r="E25" s="74" t="s">
        <v>76</v>
      </c>
      <c r="G25" s="73">
        <v>35065</v>
      </c>
      <c r="H25" s="98" t="s">
        <v>76</v>
      </c>
      <c r="I25" s="156"/>
      <c r="J25" s="73">
        <v>35065</v>
      </c>
      <c r="K25" s="98" t="s">
        <v>76</v>
      </c>
      <c r="M25" s="86" t="s">
        <v>50</v>
      </c>
    </row>
    <row r="26" spans="1:13" x14ac:dyDescent="0.2">
      <c r="A26" s="73">
        <v>34700</v>
      </c>
      <c r="B26" s="74" t="s">
        <v>76</v>
      </c>
      <c r="D26" s="73">
        <v>34700</v>
      </c>
      <c r="E26" s="98" t="s">
        <v>76</v>
      </c>
      <c r="G26" s="73">
        <v>34700</v>
      </c>
      <c r="H26" s="98" t="s">
        <v>76</v>
      </c>
      <c r="I26" s="156"/>
      <c r="J26" s="73">
        <v>34700</v>
      </c>
      <c r="K26" s="98" t="s">
        <v>76</v>
      </c>
      <c r="M26" s="96"/>
    </row>
    <row r="27" spans="1:13" x14ac:dyDescent="0.2">
      <c r="A27" s="73">
        <v>34335</v>
      </c>
      <c r="B27" s="74" t="s">
        <v>76</v>
      </c>
      <c r="D27" s="73">
        <v>34335</v>
      </c>
      <c r="E27" s="98" t="s">
        <v>76</v>
      </c>
      <c r="G27" s="73">
        <v>34335</v>
      </c>
      <c r="H27" s="98" t="s">
        <v>76</v>
      </c>
      <c r="I27" s="156"/>
      <c r="J27" s="73">
        <v>34335</v>
      </c>
      <c r="K27" s="98" t="s">
        <v>76</v>
      </c>
      <c r="M27" s="97"/>
    </row>
    <row r="28" spans="1:13" x14ac:dyDescent="0.2">
      <c r="A28" s="73">
        <v>33970</v>
      </c>
      <c r="B28" s="74" t="s">
        <v>76</v>
      </c>
      <c r="D28" s="73">
        <v>33970</v>
      </c>
      <c r="E28" s="98" t="s">
        <v>76</v>
      </c>
      <c r="G28" s="73">
        <v>33970</v>
      </c>
      <c r="H28" s="98" t="s">
        <v>76</v>
      </c>
      <c r="I28" s="156"/>
      <c r="J28" s="73">
        <v>33970</v>
      </c>
      <c r="K28" s="98" t="s">
        <v>76</v>
      </c>
      <c r="M28" s="97"/>
    </row>
    <row r="29" spans="1:13" x14ac:dyDescent="0.2">
      <c r="A29" s="73">
        <v>33604</v>
      </c>
      <c r="B29" s="74" t="s">
        <v>76</v>
      </c>
      <c r="D29" s="73">
        <v>33604</v>
      </c>
      <c r="E29" s="98" t="s">
        <v>76</v>
      </c>
      <c r="G29" s="73">
        <v>33604</v>
      </c>
      <c r="H29" s="98" t="s">
        <v>76</v>
      </c>
      <c r="I29" s="156"/>
      <c r="J29" s="73">
        <v>33604</v>
      </c>
      <c r="K29" s="98" t="s">
        <v>76</v>
      </c>
      <c r="M29" s="97"/>
    </row>
    <row r="30" spans="1:13" x14ac:dyDescent="0.2">
      <c r="A30" s="73">
        <v>33239</v>
      </c>
      <c r="B30" s="74" t="s">
        <v>76</v>
      </c>
      <c r="D30" s="73">
        <v>33239</v>
      </c>
      <c r="E30" s="98" t="s">
        <v>76</v>
      </c>
      <c r="G30" s="73">
        <v>33239</v>
      </c>
      <c r="H30" s="98" t="s">
        <v>76</v>
      </c>
      <c r="I30" s="156"/>
      <c r="J30" s="73">
        <v>33239</v>
      </c>
      <c r="K30" s="98" t="s">
        <v>76</v>
      </c>
      <c r="M30" s="97"/>
    </row>
    <row r="31" spans="1:13" x14ac:dyDescent="0.2">
      <c r="A31" s="73">
        <v>32874</v>
      </c>
      <c r="B31" s="74" t="s">
        <v>76</v>
      </c>
      <c r="D31" s="73">
        <v>32874</v>
      </c>
      <c r="E31" s="98" t="s">
        <v>76</v>
      </c>
      <c r="G31" s="73">
        <v>32874</v>
      </c>
      <c r="H31" s="98" t="s">
        <v>76</v>
      </c>
      <c r="I31" s="156"/>
      <c r="J31" s="73">
        <v>32874</v>
      </c>
      <c r="K31" s="98" t="s">
        <v>76</v>
      </c>
      <c r="M31" s="97"/>
    </row>
    <row r="32" spans="1:13" x14ac:dyDescent="0.2">
      <c r="A32" s="73">
        <v>32509</v>
      </c>
      <c r="B32" s="74" t="s">
        <v>76</v>
      </c>
      <c r="D32" s="73">
        <v>32509</v>
      </c>
      <c r="E32" s="98" t="s">
        <v>76</v>
      </c>
      <c r="G32" s="73">
        <v>32509</v>
      </c>
      <c r="H32" s="98" t="s">
        <v>76</v>
      </c>
      <c r="I32" s="156"/>
      <c r="J32" s="73">
        <v>32509</v>
      </c>
      <c r="K32" s="98" t="s">
        <v>76</v>
      </c>
      <c r="M32" s="97"/>
    </row>
    <row r="33" spans="1:13" x14ac:dyDescent="0.2">
      <c r="A33" s="73">
        <v>32143</v>
      </c>
      <c r="B33" s="74" t="s">
        <v>76</v>
      </c>
      <c r="D33" s="73">
        <v>32143</v>
      </c>
      <c r="E33" s="98" t="s">
        <v>76</v>
      </c>
      <c r="G33" s="160">
        <v>32143</v>
      </c>
      <c r="H33" s="98" t="s">
        <v>76</v>
      </c>
      <c r="I33" s="156"/>
      <c r="J33" s="160">
        <v>32143</v>
      </c>
      <c r="K33" s="98" t="s">
        <v>76</v>
      </c>
      <c r="M33" s="97"/>
    </row>
    <row r="34" spans="1:13" x14ac:dyDescent="0.2">
      <c r="A34" s="73">
        <v>31778</v>
      </c>
      <c r="B34" s="74" t="s">
        <v>76</v>
      </c>
      <c r="D34" s="73">
        <v>31778</v>
      </c>
      <c r="E34" s="98" t="s">
        <v>76</v>
      </c>
      <c r="G34" s="160">
        <v>31778</v>
      </c>
      <c r="H34" s="98" t="s">
        <v>76</v>
      </c>
      <c r="I34" s="156"/>
      <c r="J34" s="160">
        <v>31778</v>
      </c>
      <c r="K34" s="98" t="s">
        <v>76</v>
      </c>
      <c r="M34" s="97"/>
    </row>
    <row r="35" spans="1:13" x14ac:dyDescent="0.2">
      <c r="A35" s="73">
        <v>31413</v>
      </c>
      <c r="B35" s="74" t="s">
        <v>76</v>
      </c>
      <c r="D35" s="73">
        <v>31413</v>
      </c>
      <c r="E35" s="98" t="s">
        <v>76</v>
      </c>
      <c r="G35" s="160">
        <v>31413</v>
      </c>
      <c r="H35" s="98" t="s">
        <v>77</v>
      </c>
      <c r="I35" s="156"/>
      <c r="J35" s="160">
        <v>31413</v>
      </c>
      <c r="K35" s="98" t="s">
        <v>77</v>
      </c>
    </row>
    <row r="36" spans="1:13" x14ac:dyDescent="0.2">
      <c r="A36" s="73">
        <v>31048</v>
      </c>
      <c r="B36" s="74" t="s">
        <v>77</v>
      </c>
      <c r="D36" s="73">
        <v>31048</v>
      </c>
      <c r="E36" s="98" t="s">
        <v>77</v>
      </c>
      <c r="G36" s="160">
        <v>31048</v>
      </c>
      <c r="H36" s="98" t="s">
        <v>77</v>
      </c>
      <c r="I36" s="156"/>
      <c r="J36" s="160">
        <v>31048</v>
      </c>
      <c r="K36" s="98" t="s">
        <v>77</v>
      </c>
    </row>
    <row r="37" spans="1:13" x14ac:dyDescent="0.2">
      <c r="A37" s="73">
        <v>30682</v>
      </c>
      <c r="B37" s="74" t="s">
        <v>77</v>
      </c>
      <c r="D37" s="73">
        <v>30682</v>
      </c>
      <c r="E37" s="74" t="s">
        <v>77</v>
      </c>
      <c r="G37" s="160">
        <v>30682</v>
      </c>
      <c r="H37" s="98" t="s">
        <v>77</v>
      </c>
      <c r="I37" s="156"/>
      <c r="J37" s="160">
        <v>30682</v>
      </c>
      <c r="K37" s="98" t="s">
        <v>77</v>
      </c>
    </row>
    <row r="38" spans="1:13" x14ac:dyDescent="0.2">
      <c r="A38" s="73">
        <v>30317</v>
      </c>
      <c r="B38" s="74" t="s">
        <v>77</v>
      </c>
      <c r="D38" s="73">
        <v>30317</v>
      </c>
      <c r="E38" s="74" t="s">
        <v>77</v>
      </c>
      <c r="G38" s="160">
        <v>30317</v>
      </c>
      <c r="H38" s="98" t="s">
        <v>77</v>
      </c>
      <c r="I38" s="156"/>
      <c r="J38" s="160">
        <v>30317</v>
      </c>
      <c r="K38" s="98" t="s">
        <v>77</v>
      </c>
    </row>
    <row r="39" spans="1:13" x14ac:dyDescent="0.2">
      <c r="A39" s="73">
        <v>29952</v>
      </c>
      <c r="B39" s="74" t="s">
        <v>77</v>
      </c>
      <c r="D39" s="73">
        <v>29952</v>
      </c>
      <c r="E39" s="98" t="s">
        <v>77</v>
      </c>
      <c r="G39" s="160">
        <v>29952</v>
      </c>
      <c r="H39" s="98" t="s">
        <v>77</v>
      </c>
      <c r="I39" s="156"/>
      <c r="J39" s="160">
        <v>29952</v>
      </c>
      <c r="K39" s="98" t="s">
        <v>77</v>
      </c>
    </row>
    <row r="40" spans="1:13" x14ac:dyDescent="0.2">
      <c r="A40" s="73">
        <v>29587</v>
      </c>
      <c r="B40" s="74" t="s">
        <v>77</v>
      </c>
      <c r="D40" s="73">
        <v>29587</v>
      </c>
      <c r="E40" s="74" t="s">
        <v>77</v>
      </c>
      <c r="G40" s="160">
        <v>29587</v>
      </c>
      <c r="H40" s="98" t="s">
        <v>77</v>
      </c>
      <c r="I40" s="156"/>
      <c r="J40" s="160">
        <v>29587</v>
      </c>
      <c r="K40" s="98" t="s">
        <v>77</v>
      </c>
    </row>
    <row r="41" spans="1:13" x14ac:dyDescent="0.2">
      <c r="A41" s="73">
        <v>29221</v>
      </c>
      <c r="B41" s="74" t="s">
        <v>77</v>
      </c>
      <c r="D41" s="73">
        <v>29221</v>
      </c>
      <c r="E41" s="98" t="s">
        <v>77</v>
      </c>
      <c r="G41" s="160">
        <v>29221</v>
      </c>
      <c r="H41" s="98" t="s">
        <v>77</v>
      </c>
      <c r="I41" s="156"/>
      <c r="J41" s="160">
        <v>29221</v>
      </c>
      <c r="K41" s="98" t="s">
        <v>77</v>
      </c>
    </row>
    <row r="42" spans="1:13" x14ac:dyDescent="0.2">
      <c r="A42" s="73">
        <v>28856</v>
      </c>
      <c r="B42" s="74" t="s">
        <v>77</v>
      </c>
      <c r="D42" s="73">
        <v>28856</v>
      </c>
      <c r="E42" s="74" t="s">
        <v>77</v>
      </c>
      <c r="G42" s="160">
        <v>28856</v>
      </c>
      <c r="H42" s="98" t="s">
        <v>77</v>
      </c>
      <c r="I42" s="156"/>
      <c r="J42" s="160">
        <v>28856</v>
      </c>
      <c r="K42" s="98" t="s">
        <v>77</v>
      </c>
    </row>
    <row r="43" spans="1:13" x14ac:dyDescent="0.2">
      <c r="A43" s="73">
        <v>28491</v>
      </c>
      <c r="B43" s="74" t="s">
        <v>77</v>
      </c>
      <c r="D43" s="73">
        <v>28491</v>
      </c>
      <c r="E43" s="98" t="s">
        <v>77</v>
      </c>
      <c r="G43" s="160">
        <v>28491</v>
      </c>
      <c r="H43" s="98" t="s">
        <v>77</v>
      </c>
      <c r="I43" s="156"/>
      <c r="J43" s="160">
        <v>28491</v>
      </c>
      <c r="K43" s="98" t="s">
        <v>77</v>
      </c>
    </row>
    <row r="44" spans="1:13" x14ac:dyDescent="0.2">
      <c r="A44" s="73">
        <v>28126</v>
      </c>
      <c r="B44" s="74" t="s">
        <v>77</v>
      </c>
      <c r="D44" s="73">
        <v>28126</v>
      </c>
      <c r="E44" s="98" t="s">
        <v>77</v>
      </c>
      <c r="G44" s="160">
        <v>28126</v>
      </c>
      <c r="H44" s="98" t="s">
        <v>77</v>
      </c>
      <c r="I44" s="156"/>
      <c r="J44" s="160">
        <v>28126</v>
      </c>
      <c r="K44" s="98" t="s">
        <v>77</v>
      </c>
    </row>
    <row r="45" spans="1:13" x14ac:dyDescent="0.2">
      <c r="A45" s="73">
        <v>27760</v>
      </c>
      <c r="B45" s="74" t="s">
        <v>77</v>
      </c>
      <c r="D45" s="73">
        <v>27760</v>
      </c>
      <c r="E45" s="98" t="s">
        <v>77</v>
      </c>
      <c r="G45" s="160">
        <v>27760</v>
      </c>
      <c r="H45" s="98" t="s">
        <v>78</v>
      </c>
      <c r="I45" s="156"/>
      <c r="J45" s="160">
        <v>27760</v>
      </c>
      <c r="K45" s="98" t="s">
        <v>78</v>
      </c>
    </row>
    <row r="46" spans="1:13" x14ac:dyDescent="0.2">
      <c r="A46" s="73">
        <v>27395</v>
      </c>
      <c r="B46" s="74" t="s">
        <v>78</v>
      </c>
      <c r="D46" s="73">
        <v>27395</v>
      </c>
      <c r="E46" s="98" t="s">
        <v>78</v>
      </c>
      <c r="G46" s="160">
        <v>27395</v>
      </c>
      <c r="H46" s="98" t="s">
        <v>78</v>
      </c>
      <c r="I46" s="156"/>
      <c r="J46" s="160">
        <v>27395</v>
      </c>
      <c r="K46" s="98" t="s">
        <v>78</v>
      </c>
    </row>
    <row r="47" spans="1:13" x14ac:dyDescent="0.2">
      <c r="A47" s="73">
        <v>27030</v>
      </c>
      <c r="B47" s="74" t="s">
        <v>78</v>
      </c>
      <c r="D47" s="73">
        <v>27030</v>
      </c>
      <c r="E47" s="74" t="s">
        <v>78</v>
      </c>
      <c r="G47" s="160">
        <v>27030</v>
      </c>
      <c r="H47" s="98" t="s">
        <v>78</v>
      </c>
      <c r="I47" s="156"/>
      <c r="J47" s="160">
        <v>27030</v>
      </c>
      <c r="K47" s="98" t="s">
        <v>78</v>
      </c>
    </row>
    <row r="48" spans="1:13" x14ac:dyDescent="0.2">
      <c r="A48" s="73">
        <v>26665</v>
      </c>
      <c r="B48" s="74" t="s">
        <v>78</v>
      </c>
      <c r="D48" s="73">
        <v>26665</v>
      </c>
      <c r="E48" s="74" t="s">
        <v>78</v>
      </c>
      <c r="G48" s="160">
        <v>26665</v>
      </c>
      <c r="H48" s="98" t="s">
        <v>78</v>
      </c>
      <c r="I48" s="156"/>
      <c r="J48" s="160">
        <v>26665</v>
      </c>
      <c r="K48" s="98" t="s">
        <v>78</v>
      </c>
    </row>
    <row r="49" spans="1:11" x14ac:dyDescent="0.2">
      <c r="A49" s="73">
        <v>26299</v>
      </c>
      <c r="B49" s="74" t="s">
        <v>78</v>
      </c>
      <c r="D49" s="73">
        <v>26299</v>
      </c>
      <c r="E49" s="98" t="s">
        <v>78</v>
      </c>
      <c r="G49" s="160">
        <v>26299</v>
      </c>
      <c r="H49" s="98" t="s">
        <v>78</v>
      </c>
      <c r="I49" s="156"/>
      <c r="J49" s="160">
        <v>26299</v>
      </c>
      <c r="K49" s="98" t="s">
        <v>78</v>
      </c>
    </row>
    <row r="50" spans="1:11" x14ac:dyDescent="0.2">
      <c r="A50" s="73">
        <v>25934</v>
      </c>
      <c r="B50" s="74" t="s">
        <v>78</v>
      </c>
      <c r="D50" s="73">
        <v>25934</v>
      </c>
      <c r="E50" s="74" t="s">
        <v>78</v>
      </c>
      <c r="G50" s="160">
        <v>25934</v>
      </c>
      <c r="H50" s="98" t="s">
        <v>78</v>
      </c>
      <c r="I50" s="156"/>
      <c r="J50" s="160">
        <v>25934</v>
      </c>
      <c r="K50" s="98" t="s">
        <v>78</v>
      </c>
    </row>
    <row r="51" spans="1:11" x14ac:dyDescent="0.2">
      <c r="A51" s="73">
        <v>25569</v>
      </c>
      <c r="B51" s="74" t="s">
        <v>78</v>
      </c>
      <c r="D51" s="73">
        <v>25569</v>
      </c>
      <c r="E51" s="98" t="s">
        <v>78</v>
      </c>
      <c r="G51" s="160">
        <v>25569</v>
      </c>
      <c r="H51" s="98" t="s">
        <v>78</v>
      </c>
      <c r="I51" s="156"/>
      <c r="J51" s="160">
        <v>25569</v>
      </c>
      <c r="K51" s="98" t="s">
        <v>78</v>
      </c>
    </row>
    <row r="52" spans="1:11" x14ac:dyDescent="0.2">
      <c r="A52" s="73">
        <v>25204</v>
      </c>
      <c r="B52" s="74" t="s">
        <v>78</v>
      </c>
      <c r="D52" s="73">
        <v>25204</v>
      </c>
      <c r="E52" s="74" t="s">
        <v>78</v>
      </c>
      <c r="G52" s="160">
        <v>25204</v>
      </c>
      <c r="H52" s="98" t="s">
        <v>78</v>
      </c>
      <c r="I52" s="156"/>
      <c r="J52" s="160">
        <v>25204</v>
      </c>
      <c r="K52" s="98" t="s">
        <v>78</v>
      </c>
    </row>
    <row r="53" spans="1:11" x14ac:dyDescent="0.2">
      <c r="A53" s="73">
        <v>24838</v>
      </c>
      <c r="B53" s="74" t="s">
        <v>78</v>
      </c>
      <c r="D53" s="73">
        <v>24838</v>
      </c>
      <c r="E53" s="98" t="s">
        <v>78</v>
      </c>
      <c r="G53" s="160">
        <v>24838</v>
      </c>
      <c r="H53" s="98" t="s">
        <v>78</v>
      </c>
      <c r="I53" s="156"/>
      <c r="J53" s="160">
        <v>24838</v>
      </c>
      <c r="K53" s="98" t="s">
        <v>78</v>
      </c>
    </row>
    <row r="54" spans="1:11" x14ac:dyDescent="0.2">
      <c r="A54" s="73">
        <v>24473</v>
      </c>
      <c r="B54" s="74" t="s">
        <v>78</v>
      </c>
      <c r="D54" s="73">
        <v>24473</v>
      </c>
      <c r="E54" s="98" t="s">
        <v>78</v>
      </c>
      <c r="G54" s="160">
        <v>24473</v>
      </c>
      <c r="H54" s="98" t="s">
        <v>78</v>
      </c>
      <c r="I54" s="156"/>
      <c r="J54" s="160">
        <v>24473</v>
      </c>
      <c r="K54" s="98" t="s">
        <v>78</v>
      </c>
    </row>
    <row r="55" spans="1:11" x14ac:dyDescent="0.2">
      <c r="A55" s="73">
        <v>24108</v>
      </c>
      <c r="B55" s="74" t="s">
        <v>78</v>
      </c>
      <c r="D55" s="73">
        <v>24108</v>
      </c>
      <c r="E55" s="98" t="s">
        <v>78</v>
      </c>
      <c r="G55" s="160">
        <v>24108</v>
      </c>
      <c r="H55" s="98" t="s">
        <v>79</v>
      </c>
      <c r="I55" s="156"/>
      <c r="J55" s="160">
        <v>24108</v>
      </c>
      <c r="K55" s="98" t="s">
        <v>79</v>
      </c>
    </row>
    <row r="56" spans="1:11" x14ac:dyDescent="0.2">
      <c r="A56" s="73">
        <v>23743</v>
      </c>
      <c r="B56" s="74" t="s">
        <v>79</v>
      </c>
      <c r="D56" s="73">
        <v>23743</v>
      </c>
      <c r="E56" s="98" t="s">
        <v>79</v>
      </c>
      <c r="G56" s="160">
        <v>23743</v>
      </c>
      <c r="H56" s="98" t="s">
        <v>79</v>
      </c>
      <c r="I56" s="156"/>
      <c r="J56" s="160">
        <v>23743</v>
      </c>
      <c r="K56" s="98" t="s">
        <v>79</v>
      </c>
    </row>
    <row r="57" spans="1:11" x14ac:dyDescent="0.2">
      <c r="A57" s="73">
        <v>23377</v>
      </c>
      <c r="B57" s="74" t="s">
        <v>79</v>
      </c>
      <c r="D57" s="73">
        <v>23377</v>
      </c>
      <c r="E57" s="74" t="s">
        <v>79</v>
      </c>
      <c r="G57" s="160">
        <v>23377</v>
      </c>
      <c r="H57" s="98" t="s">
        <v>79</v>
      </c>
      <c r="I57" s="156"/>
      <c r="J57" s="160">
        <v>23377</v>
      </c>
      <c r="K57" s="98" t="s">
        <v>79</v>
      </c>
    </row>
    <row r="58" spans="1:11" x14ac:dyDescent="0.2">
      <c r="A58" s="73">
        <v>23012</v>
      </c>
      <c r="B58" s="74" t="s">
        <v>79</v>
      </c>
      <c r="D58" s="73">
        <v>23012</v>
      </c>
      <c r="E58" s="74" t="s">
        <v>79</v>
      </c>
      <c r="G58" s="160">
        <v>23012</v>
      </c>
      <c r="H58" s="98" t="s">
        <v>79</v>
      </c>
      <c r="I58" s="156"/>
      <c r="J58" s="160">
        <v>23012</v>
      </c>
      <c r="K58" s="98" t="s">
        <v>79</v>
      </c>
    </row>
    <row r="59" spans="1:11" x14ac:dyDescent="0.2">
      <c r="A59" s="73">
        <v>22647</v>
      </c>
      <c r="B59" s="74" t="s">
        <v>79</v>
      </c>
      <c r="D59" s="73">
        <v>22647</v>
      </c>
      <c r="E59" s="98" t="s">
        <v>79</v>
      </c>
      <c r="G59" s="160">
        <v>22647</v>
      </c>
      <c r="H59" s="98" t="s">
        <v>79</v>
      </c>
      <c r="I59" s="156"/>
      <c r="J59" s="160">
        <v>22647</v>
      </c>
      <c r="K59" s="98" t="s">
        <v>79</v>
      </c>
    </row>
    <row r="60" spans="1:11" x14ac:dyDescent="0.2">
      <c r="A60" s="73">
        <v>22282</v>
      </c>
      <c r="B60" s="74" t="s">
        <v>79</v>
      </c>
      <c r="D60" s="73">
        <v>22282</v>
      </c>
      <c r="E60" s="74" t="s">
        <v>79</v>
      </c>
      <c r="G60" s="160">
        <v>22282</v>
      </c>
      <c r="H60" s="98" t="s">
        <v>79</v>
      </c>
      <c r="I60" s="156"/>
      <c r="J60" s="160">
        <v>22282</v>
      </c>
      <c r="K60" s="98" t="s">
        <v>79</v>
      </c>
    </row>
    <row r="61" spans="1:11" x14ac:dyDescent="0.2">
      <c r="A61" s="73">
        <v>21916</v>
      </c>
      <c r="B61" s="74" t="s">
        <v>79</v>
      </c>
      <c r="D61" s="73">
        <v>21916</v>
      </c>
      <c r="E61" s="98" t="s">
        <v>79</v>
      </c>
      <c r="G61" s="160">
        <v>21916</v>
      </c>
      <c r="H61" s="98" t="s">
        <v>79</v>
      </c>
      <c r="I61" s="156"/>
      <c r="J61" s="160">
        <v>21916</v>
      </c>
      <c r="K61" s="98" t="s">
        <v>79</v>
      </c>
    </row>
    <row r="62" spans="1:11" x14ac:dyDescent="0.2">
      <c r="A62" s="73">
        <v>21551</v>
      </c>
      <c r="B62" s="74" t="s">
        <v>79</v>
      </c>
      <c r="D62" s="73">
        <v>21551</v>
      </c>
      <c r="E62" s="74" t="s">
        <v>79</v>
      </c>
      <c r="G62" s="160">
        <v>21551</v>
      </c>
      <c r="H62" s="98" t="s">
        <v>79</v>
      </c>
      <c r="I62" s="156"/>
      <c r="J62" s="160">
        <v>21551</v>
      </c>
      <c r="K62" s="98" t="s">
        <v>79</v>
      </c>
    </row>
    <row r="63" spans="1:11" x14ac:dyDescent="0.2">
      <c r="A63" s="73">
        <v>21186</v>
      </c>
      <c r="B63" s="74" t="s">
        <v>79</v>
      </c>
      <c r="D63" s="73">
        <v>21186</v>
      </c>
      <c r="E63" s="98" t="s">
        <v>79</v>
      </c>
      <c r="G63" s="160">
        <v>21186</v>
      </c>
      <c r="H63" s="98" t="s">
        <v>79</v>
      </c>
      <c r="I63" s="156"/>
      <c r="J63" s="160">
        <v>21186</v>
      </c>
      <c r="K63" s="98" t="s">
        <v>79</v>
      </c>
    </row>
    <row r="64" spans="1:11" x14ac:dyDescent="0.2">
      <c r="A64" s="73">
        <v>20821</v>
      </c>
      <c r="B64" s="74" t="s">
        <v>79</v>
      </c>
      <c r="D64" s="73">
        <v>20821</v>
      </c>
      <c r="E64" s="98" t="s">
        <v>79</v>
      </c>
      <c r="G64" s="160">
        <v>20821</v>
      </c>
      <c r="H64" s="98" t="s">
        <v>79</v>
      </c>
      <c r="I64" s="156"/>
      <c r="J64" s="160">
        <v>20821</v>
      </c>
      <c r="K64" s="98" t="s">
        <v>79</v>
      </c>
    </row>
    <row r="65" spans="1:11" x14ac:dyDescent="0.2">
      <c r="A65" s="73">
        <v>20455</v>
      </c>
      <c r="B65" s="74" t="s">
        <v>79</v>
      </c>
      <c r="D65" s="73">
        <v>20455</v>
      </c>
      <c r="E65" s="98" t="s">
        <v>79</v>
      </c>
      <c r="G65" s="160">
        <v>20455</v>
      </c>
      <c r="H65" s="98" t="s">
        <v>80</v>
      </c>
      <c r="I65" s="156"/>
      <c r="J65" s="160">
        <v>20455</v>
      </c>
      <c r="K65" s="98" t="s">
        <v>80</v>
      </c>
    </row>
    <row r="66" spans="1:11" x14ac:dyDescent="0.2">
      <c r="A66" s="73">
        <v>20090</v>
      </c>
      <c r="B66" s="74" t="s">
        <v>80</v>
      </c>
      <c r="D66" s="73">
        <v>20090</v>
      </c>
      <c r="E66" s="98" t="s">
        <v>80</v>
      </c>
      <c r="G66" s="160">
        <v>20090</v>
      </c>
      <c r="H66" s="98" t="s">
        <v>80</v>
      </c>
      <c r="I66" s="156"/>
      <c r="J66" s="160">
        <v>20090</v>
      </c>
      <c r="K66" s="98" t="s">
        <v>80</v>
      </c>
    </row>
    <row r="67" spans="1:11" x14ac:dyDescent="0.2">
      <c r="A67" s="73">
        <v>19725</v>
      </c>
      <c r="B67" s="74" t="s">
        <v>80</v>
      </c>
      <c r="D67" s="73">
        <v>19725</v>
      </c>
      <c r="E67" s="74" t="s">
        <v>80</v>
      </c>
      <c r="G67" s="160">
        <v>19725</v>
      </c>
      <c r="H67" s="98" t="s">
        <v>80</v>
      </c>
      <c r="I67" s="156"/>
      <c r="J67" s="160">
        <v>19725</v>
      </c>
      <c r="K67" s="98" t="s">
        <v>80</v>
      </c>
    </row>
    <row r="68" spans="1:11" x14ac:dyDescent="0.2">
      <c r="A68" s="73">
        <v>19360</v>
      </c>
      <c r="B68" s="74" t="s">
        <v>80</v>
      </c>
      <c r="D68" s="73">
        <v>19360</v>
      </c>
      <c r="E68" s="74" t="s">
        <v>80</v>
      </c>
      <c r="G68" s="160">
        <v>19360</v>
      </c>
      <c r="H68" s="98" t="s">
        <v>80</v>
      </c>
      <c r="I68" s="156"/>
      <c r="J68" s="160">
        <v>19360</v>
      </c>
      <c r="K68" s="98" t="s">
        <v>80</v>
      </c>
    </row>
    <row r="69" spans="1:11" x14ac:dyDescent="0.2">
      <c r="A69" s="73">
        <v>18994</v>
      </c>
      <c r="B69" s="74" t="s">
        <v>80</v>
      </c>
      <c r="D69" s="73">
        <v>18994</v>
      </c>
      <c r="E69" s="98" t="s">
        <v>80</v>
      </c>
      <c r="G69" s="160">
        <v>18994</v>
      </c>
      <c r="H69" s="98" t="s">
        <v>80</v>
      </c>
      <c r="I69" s="156"/>
      <c r="J69" s="160">
        <v>18994</v>
      </c>
      <c r="K69" s="98" t="s">
        <v>80</v>
      </c>
    </row>
    <row r="70" spans="1:11" x14ac:dyDescent="0.2">
      <c r="A70" s="73">
        <v>18629</v>
      </c>
      <c r="B70" s="74" t="s">
        <v>80</v>
      </c>
      <c r="D70" s="73">
        <v>18629</v>
      </c>
      <c r="E70" s="74" t="s">
        <v>80</v>
      </c>
      <c r="G70" s="160">
        <v>18629</v>
      </c>
      <c r="H70" s="98" t="s">
        <v>80</v>
      </c>
      <c r="I70" s="156"/>
      <c r="J70" s="160">
        <v>18629</v>
      </c>
      <c r="K70" s="98" t="s">
        <v>80</v>
      </c>
    </row>
    <row r="71" spans="1:11" x14ac:dyDescent="0.2">
      <c r="A71" s="73">
        <v>18264</v>
      </c>
      <c r="B71" s="74" t="s">
        <v>80</v>
      </c>
      <c r="D71" s="73">
        <v>18264</v>
      </c>
      <c r="E71" s="98" t="s">
        <v>80</v>
      </c>
      <c r="G71" s="160">
        <v>18264</v>
      </c>
      <c r="H71" s="98" t="s">
        <v>80</v>
      </c>
      <c r="I71" s="156"/>
      <c r="J71" s="160">
        <v>18264</v>
      </c>
      <c r="K71" s="98" t="s">
        <v>80</v>
      </c>
    </row>
    <row r="72" spans="1:11" x14ac:dyDescent="0.2">
      <c r="A72" s="73">
        <v>17899</v>
      </c>
      <c r="B72" s="74" t="s">
        <v>80</v>
      </c>
      <c r="D72" s="73">
        <v>17899</v>
      </c>
      <c r="E72" s="74" t="s">
        <v>80</v>
      </c>
      <c r="G72" s="160">
        <v>17899</v>
      </c>
      <c r="H72" s="98" t="s">
        <v>80</v>
      </c>
      <c r="I72" s="156"/>
      <c r="J72" s="160">
        <v>17899</v>
      </c>
      <c r="K72" s="98" t="s">
        <v>80</v>
      </c>
    </row>
    <row r="73" spans="1:11" x14ac:dyDescent="0.2">
      <c r="A73" s="73">
        <v>17533</v>
      </c>
      <c r="B73" s="74" t="s">
        <v>80</v>
      </c>
      <c r="D73" s="73">
        <v>17533</v>
      </c>
      <c r="E73" s="98" t="s">
        <v>80</v>
      </c>
      <c r="G73" s="160">
        <v>17533</v>
      </c>
      <c r="H73" s="98" t="s">
        <v>80</v>
      </c>
      <c r="I73" s="156"/>
      <c r="J73" s="160">
        <v>17533</v>
      </c>
      <c r="K73" s="98" t="s">
        <v>80</v>
      </c>
    </row>
    <row r="74" spans="1:11" x14ac:dyDescent="0.2">
      <c r="A74" s="73">
        <v>17168</v>
      </c>
      <c r="B74" s="74" t="s">
        <v>80</v>
      </c>
      <c r="D74" s="73">
        <v>17168</v>
      </c>
      <c r="E74" s="98" t="s">
        <v>80</v>
      </c>
      <c r="G74" s="160">
        <v>17168</v>
      </c>
      <c r="H74" s="98" t="s">
        <v>80</v>
      </c>
      <c r="I74" s="156"/>
      <c r="J74" s="160">
        <v>17168</v>
      </c>
      <c r="K74" s="98" t="s">
        <v>80</v>
      </c>
    </row>
    <row r="75" spans="1:11" x14ac:dyDescent="0.2">
      <c r="A75" s="73">
        <v>16803</v>
      </c>
      <c r="B75" s="74" t="s">
        <v>80</v>
      </c>
      <c r="D75" s="73">
        <v>16803</v>
      </c>
      <c r="E75" s="98" t="s">
        <v>80</v>
      </c>
      <c r="G75" s="160">
        <v>16803</v>
      </c>
      <c r="H75" s="98" t="s">
        <v>80</v>
      </c>
      <c r="I75" s="156"/>
      <c r="J75" s="160">
        <v>16803</v>
      </c>
      <c r="K75" s="98" t="s">
        <v>80</v>
      </c>
    </row>
    <row r="76" spans="1:11" x14ac:dyDescent="0.2">
      <c r="A76" s="73">
        <v>16438</v>
      </c>
      <c r="B76" s="74" t="s">
        <v>80</v>
      </c>
      <c r="D76" s="73">
        <v>16438</v>
      </c>
      <c r="E76" s="98" t="s">
        <v>80</v>
      </c>
      <c r="G76" s="160">
        <v>16438</v>
      </c>
      <c r="H76" s="98" t="s">
        <v>80</v>
      </c>
      <c r="I76" s="156"/>
      <c r="J76" s="160">
        <v>16438</v>
      </c>
      <c r="K76" s="98" t="s">
        <v>80</v>
      </c>
    </row>
    <row r="77" spans="1:11" x14ac:dyDescent="0.2">
      <c r="A77" s="73">
        <v>16072</v>
      </c>
      <c r="B77" s="74" t="s">
        <v>80</v>
      </c>
      <c r="D77" s="73">
        <v>16072</v>
      </c>
      <c r="E77" s="98" t="s">
        <v>80</v>
      </c>
      <c r="G77" s="160">
        <v>16072</v>
      </c>
      <c r="H77" s="98" t="s">
        <v>80</v>
      </c>
      <c r="I77" s="156"/>
      <c r="J77" s="160">
        <v>16072</v>
      </c>
      <c r="K77" s="98" t="s">
        <v>80</v>
      </c>
    </row>
    <row r="78" spans="1:11" x14ac:dyDescent="0.2">
      <c r="A78" s="73">
        <v>15707</v>
      </c>
      <c r="B78" s="74" t="s">
        <v>80</v>
      </c>
      <c r="D78" s="73">
        <v>15707</v>
      </c>
      <c r="E78" s="98" t="s">
        <v>80</v>
      </c>
      <c r="G78" s="160">
        <v>15707</v>
      </c>
      <c r="H78" s="98" t="s">
        <v>80</v>
      </c>
      <c r="I78" s="156"/>
      <c r="J78" s="160">
        <v>15707</v>
      </c>
      <c r="K78" s="98" t="s">
        <v>80</v>
      </c>
    </row>
    <row r="79" spans="1:11" x14ac:dyDescent="0.2">
      <c r="A79" s="73">
        <v>15342</v>
      </c>
      <c r="B79" s="74" t="s">
        <v>80</v>
      </c>
      <c r="D79" s="73">
        <v>15342</v>
      </c>
      <c r="E79" s="98" t="s">
        <v>80</v>
      </c>
      <c r="G79" s="160">
        <v>15342</v>
      </c>
      <c r="H79" s="98" t="s">
        <v>80</v>
      </c>
      <c r="I79" s="156"/>
      <c r="J79" s="160">
        <v>15342</v>
      </c>
      <c r="K79" s="98" t="s">
        <v>80</v>
      </c>
    </row>
    <row r="80" spans="1:11" x14ac:dyDescent="0.2">
      <c r="A80" s="73">
        <v>14977</v>
      </c>
      <c r="B80" s="74" t="s">
        <v>80</v>
      </c>
      <c r="D80" s="73">
        <v>14977</v>
      </c>
      <c r="E80" s="98" t="s">
        <v>80</v>
      </c>
      <c r="G80" s="160">
        <v>14977</v>
      </c>
      <c r="H80" s="98" t="s">
        <v>80</v>
      </c>
      <c r="I80" s="156"/>
      <c r="J80" s="160">
        <v>14977</v>
      </c>
      <c r="K80" s="98" t="s">
        <v>80</v>
      </c>
    </row>
    <row r="81" spans="1:11" x14ac:dyDescent="0.2">
      <c r="A81" s="73">
        <v>14611</v>
      </c>
      <c r="B81" s="74" t="s">
        <v>80</v>
      </c>
      <c r="D81" s="73">
        <v>14611</v>
      </c>
      <c r="E81" s="98" t="s">
        <v>80</v>
      </c>
      <c r="G81" s="160">
        <v>14611</v>
      </c>
      <c r="H81" s="98" t="s">
        <v>80</v>
      </c>
      <c r="I81" s="156"/>
      <c r="J81" s="160">
        <v>14611</v>
      </c>
      <c r="K81" s="98" t="s">
        <v>80</v>
      </c>
    </row>
    <row r="82" spans="1:11" x14ac:dyDescent="0.2">
      <c r="A82" s="73">
        <v>14246</v>
      </c>
      <c r="B82" s="74" t="s">
        <v>80</v>
      </c>
      <c r="D82" s="73">
        <v>14246</v>
      </c>
      <c r="E82" s="98" t="s">
        <v>80</v>
      </c>
      <c r="G82" s="160">
        <v>14246</v>
      </c>
      <c r="H82" s="98" t="s">
        <v>80</v>
      </c>
      <c r="I82" s="156"/>
      <c r="J82" s="160">
        <v>14246</v>
      </c>
      <c r="K82" s="98" t="s">
        <v>80</v>
      </c>
    </row>
    <row r="83" spans="1:11" x14ac:dyDescent="0.2">
      <c r="A83" s="73">
        <v>13881</v>
      </c>
      <c r="B83" s="74" t="s">
        <v>80</v>
      </c>
      <c r="D83" s="73">
        <v>13881</v>
      </c>
      <c r="E83" s="98" t="s">
        <v>80</v>
      </c>
      <c r="G83" s="160">
        <v>13881</v>
      </c>
      <c r="H83" s="98" t="s">
        <v>80</v>
      </c>
      <c r="I83" s="156"/>
      <c r="J83" s="160">
        <v>13881</v>
      </c>
      <c r="K83" s="98" t="s">
        <v>80</v>
      </c>
    </row>
    <row r="84" spans="1:11" x14ac:dyDescent="0.2">
      <c r="A84" s="73">
        <v>13516</v>
      </c>
      <c r="B84" s="74" t="s">
        <v>80</v>
      </c>
      <c r="D84" s="73">
        <v>13516</v>
      </c>
      <c r="E84" s="98" t="s">
        <v>80</v>
      </c>
      <c r="G84" s="160">
        <v>13516</v>
      </c>
      <c r="H84" s="98" t="s">
        <v>80</v>
      </c>
      <c r="I84" s="156"/>
      <c r="J84" s="160">
        <v>13516</v>
      </c>
      <c r="K84" s="98" t="s">
        <v>80</v>
      </c>
    </row>
    <row r="85" spans="1:11" x14ac:dyDescent="0.2">
      <c r="A85" s="73">
        <v>13150</v>
      </c>
      <c r="B85" s="74" t="s">
        <v>80</v>
      </c>
      <c r="D85" s="73">
        <v>13150</v>
      </c>
      <c r="E85" s="98" t="s">
        <v>80</v>
      </c>
      <c r="G85" s="160">
        <v>13150</v>
      </c>
      <c r="H85" s="98" t="s">
        <v>80</v>
      </c>
      <c r="I85" s="156"/>
      <c r="J85" s="160">
        <v>13150</v>
      </c>
      <c r="K85" s="98" t="s">
        <v>80</v>
      </c>
    </row>
    <row r="86" spans="1:11" x14ac:dyDescent="0.2">
      <c r="A86" s="73">
        <v>12785</v>
      </c>
      <c r="B86" s="74" t="s">
        <v>80</v>
      </c>
      <c r="D86" s="73">
        <v>12785</v>
      </c>
      <c r="E86" s="98" t="s">
        <v>80</v>
      </c>
      <c r="G86" s="160">
        <v>12785</v>
      </c>
      <c r="H86" s="98" t="s">
        <v>80</v>
      </c>
      <c r="I86" s="156"/>
      <c r="J86" s="160">
        <v>12785</v>
      </c>
      <c r="K86" s="98" t="s">
        <v>80</v>
      </c>
    </row>
    <row r="87" spans="1:11" x14ac:dyDescent="0.2">
      <c r="A87" s="73">
        <v>12420</v>
      </c>
      <c r="B87" s="74" t="s">
        <v>80</v>
      </c>
      <c r="D87" s="73">
        <v>12420</v>
      </c>
      <c r="E87" s="98" t="s">
        <v>80</v>
      </c>
      <c r="G87" s="160">
        <v>12420</v>
      </c>
      <c r="H87" s="98" t="s">
        <v>80</v>
      </c>
      <c r="I87" s="156"/>
      <c r="J87" s="160">
        <v>12420</v>
      </c>
      <c r="K87" s="98" t="s">
        <v>80</v>
      </c>
    </row>
    <row r="88" spans="1:11" x14ac:dyDescent="0.2">
      <c r="A88" s="73">
        <v>12055</v>
      </c>
      <c r="B88" s="74" t="s">
        <v>80</v>
      </c>
      <c r="D88" s="73">
        <v>12055</v>
      </c>
      <c r="E88" s="98" t="s">
        <v>80</v>
      </c>
      <c r="G88" s="160">
        <v>12055</v>
      </c>
      <c r="H88" s="98" t="s">
        <v>80</v>
      </c>
      <c r="I88" s="156"/>
      <c r="J88" s="160">
        <v>12055</v>
      </c>
      <c r="K88" s="98" t="s">
        <v>80</v>
      </c>
    </row>
    <row r="89" spans="1:11" x14ac:dyDescent="0.2">
      <c r="A89" s="73">
        <v>11689</v>
      </c>
      <c r="B89" s="74" t="s">
        <v>80</v>
      </c>
      <c r="D89" s="73">
        <v>11689</v>
      </c>
      <c r="E89" s="98" t="s">
        <v>80</v>
      </c>
      <c r="G89" s="160">
        <v>11689</v>
      </c>
      <c r="H89" s="98" t="s">
        <v>80</v>
      </c>
      <c r="I89" s="156"/>
      <c r="J89" s="160">
        <v>11689</v>
      </c>
      <c r="K89" s="98" t="s">
        <v>80</v>
      </c>
    </row>
    <row r="90" spans="1:11" x14ac:dyDescent="0.2">
      <c r="A90" s="73">
        <v>11324</v>
      </c>
      <c r="B90" s="74" t="s">
        <v>80</v>
      </c>
      <c r="D90" s="73">
        <v>11324</v>
      </c>
      <c r="E90" s="98" t="s">
        <v>80</v>
      </c>
      <c r="G90" s="160">
        <v>11324</v>
      </c>
      <c r="H90" s="98" t="s">
        <v>80</v>
      </c>
      <c r="I90" s="156"/>
      <c r="J90" s="160">
        <v>11324</v>
      </c>
      <c r="K90" s="98" t="s">
        <v>80</v>
      </c>
    </row>
    <row r="91" spans="1:11" x14ac:dyDescent="0.2">
      <c r="A91" s="73">
        <v>10959</v>
      </c>
      <c r="B91" s="74" t="s">
        <v>80</v>
      </c>
      <c r="D91" s="73">
        <v>10959</v>
      </c>
      <c r="E91" s="98" t="s">
        <v>80</v>
      </c>
      <c r="G91" s="160">
        <v>10959</v>
      </c>
      <c r="H91" s="98" t="s">
        <v>80</v>
      </c>
      <c r="I91" s="156"/>
      <c r="J91" s="160">
        <v>10959</v>
      </c>
      <c r="K91" s="98" t="s">
        <v>80</v>
      </c>
    </row>
    <row r="92" spans="1:11" x14ac:dyDescent="0.2">
      <c r="A92" s="73">
        <v>10594</v>
      </c>
      <c r="B92" s="74" t="s">
        <v>80</v>
      </c>
      <c r="D92" s="73">
        <v>10594</v>
      </c>
      <c r="E92" s="98" t="s">
        <v>80</v>
      </c>
      <c r="G92" s="160">
        <v>10594</v>
      </c>
      <c r="H92" s="98" t="s">
        <v>80</v>
      </c>
      <c r="I92" s="156"/>
      <c r="J92" s="160">
        <v>10594</v>
      </c>
      <c r="K92" s="98" t="s">
        <v>80</v>
      </c>
    </row>
  </sheetData>
  <sheetProtection sheet="1" objects="1" scenarios="1"/>
  <mergeCells count="6">
    <mergeCell ref="A1:E1"/>
    <mergeCell ref="A3:B3"/>
    <mergeCell ref="D3:E3"/>
    <mergeCell ref="G1:K1"/>
    <mergeCell ref="G3:H3"/>
    <mergeCell ref="J3:K3"/>
  </mergeCells>
  <conditionalFormatting sqref="M26:M30 M11:M15 M17:M22">
    <cfRule type="expression" dxfId="35" priority="6" stopIfTrue="1">
      <formula>RIGHT(M11,LEN("'HM'"))="'HM'"</formula>
    </cfRule>
  </conditionalFormatting>
  <conditionalFormatting sqref="M8:M9">
    <cfRule type="expression" dxfId="34" priority="2" stopIfTrue="1">
      <formula>RIGHT(M8,LEN("'HM'"))="'HM'"</formula>
    </cfRule>
  </conditionalFormatting>
  <conditionalFormatting sqref="M10">
    <cfRule type="expression" dxfId="33" priority="1" stopIfTrue="1">
      <formula>RIGHT(M10,LEN("'HM'"))="'HM'"</formula>
    </cfRule>
  </conditionalFormatting>
  <conditionalFormatting sqref="M23">
    <cfRule type="expression" dxfId="32" priority="3" stopIfTrue="1">
      <formula>RIGHT(M23,LEN("'HM'"))="'HM'"</formula>
    </cfRule>
  </conditionalFormatting>
  <printOptions horizontalCentered="1"/>
  <pageMargins left="0.39370078740157483" right="0.39370078740157483" top="0.39370078740157483" bottom="0.39370078740157483" header="0.31496062992125984" footer="0.31496062992125984"/>
  <pageSetup paperSize="9" scale="73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N62"/>
  <sheetViews>
    <sheetView topLeftCell="A16" workbookViewId="0">
      <selection activeCell="E17" sqref="E17"/>
    </sheetView>
  </sheetViews>
  <sheetFormatPr baseColWidth="10" defaultColWidth="9.140625" defaultRowHeight="12.75" x14ac:dyDescent="0.2"/>
  <cols>
    <col min="1" max="1" width="6.7109375" bestFit="1" customWidth="1"/>
    <col min="2" max="2" width="9.42578125" bestFit="1" customWidth="1"/>
    <col min="3" max="3" width="19.7109375" bestFit="1" customWidth="1"/>
    <col min="4" max="4" width="6" bestFit="1" customWidth="1"/>
    <col min="5" max="5" width="17.28515625" bestFit="1" customWidth="1"/>
    <col min="6" max="6" width="20.7109375" bestFit="1" customWidth="1"/>
    <col min="7" max="7" width="6" bestFit="1" customWidth="1"/>
    <col min="8" max="8" width="17.28515625" bestFit="1" customWidth="1"/>
    <col min="9" max="9" width="19.7109375" bestFit="1" customWidth="1"/>
    <col min="10" max="10" width="6" bestFit="1" customWidth="1"/>
    <col min="11" max="11" width="17.28515625" bestFit="1" customWidth="1"/>
    <col min="12" max="12" width="19.7109375" bestFit="1" customWidth="1"/>
    <col min="13" max="13" width="6" bestFit="1" customWidth="1"/>
    <col min="14" max="14" width="17.28515625" bestFit="1" customWidth="1"/>
  </cols>
  <sheetData>
    <row r="1" spans="1:14" ht="21" thickBot="1" x14ac:dyDescent="0.25">
      <c r="A1" s="536" t="s">
        <v>156</v>
      </c>
      <c r="B1" s="537"/>
      <c r="C1" s="537"/>
      <c r="D1" s="537"/>
      <c r="E1" s="537"/>
      <c r="F1" s="537"/>
      <c r="G1" s="537"/>
      <c r="H1" s="537"/>
      <c r="I1" s="537"/>
      <c r="J1" s="537"/>
      <c r="K1" s="537"/>
      <c r="L1" s="537"/>
      <c r="M1" s="537"/>
      <c r="N1" s="537"/>
    </row>
    <row r="2" spans="1:14" ht="15.75" x14ac:dyDescent="0.2">
      <c r="A2" s="538" t="s">
        <v>109</v>
      </c>
      <c r="B2" s="539"/>
      <c r="C2" s="230" t="s">
        <v>38</v>
      </c>
      <c r="D2" s="231"/>
      <c r="E2" s="232"/>
      <c r="F2" s="542" t="s">
        <v>157</v>
      </c>
      <c r="G2" s="542"/>
      <c r="H2" s="543"/>
      <c r="I2" s="542" t="s">
        <v>158</v>
      </c>
      <c r="J2" s="542"/>
      <c r="K2" s="543"/>
      <c r="L2" s="542" t="s">
        <v>159</v>
      </c>
      <c r="M2" s="542"/>
      <c r="N2" s="544"/>
    </row>
    <row r="3" spans="1:14" x14ac:dyDescent="0.2">
      <c r="A3" s="540"/>
      <c r="B3" s="541"/>
      <c r="C3" s="233" t="s">
        <v>160</v>
      </c>
      <c r="D3" s="234" t="s">
        <v>161</v>
      </c>
      <c r="E3" s="235" t="s">
        <v>162</v>
      </c>
      <c r="F3" s="236" t="s">
        <v>160</v>
      </c>
      <c r="G3" s="234" t="s">
        <v>161</v>
      </c>
      <c r="H3" s="235" t="s">
        <v>162</v>
      </c>
      <c r="I3" s="236" t="s">
        <v>160</v>
      </c>
      <c r="J3" s="234" t="s">
        <v>161</v>
      </c>
      <c r="K3" s="235" t="s">
        <v>162</v>
      </c>
      <c r="L3" s="236" t="s">
        <v>160</v>
      </c>
      <c r="M3" s="234" t="s">
        <v>161</v>
      </c>
      <c r="N3" s="234" t="s">
        <v>162</v>
      </c>
    </row>
    <row r="4" spans="1:14" x14ac:dyDescent="0.2">
      <c r="A4" s="237" t="s">
        <v>163</v>
      </c>
      <c r="B4" s="238" t="s">
        <v>164</v>
      </c>
      <c r="C4" s="239" t="s">
        <v>165</v>
      </c>
      <c r="D4" s="240">
        <v>65</v>
      </c>
      <c r="E4" s="241">
        <v>2019</v>
      </c>
      <c r="F4" s="239" t="s">
        <v>165</v>
      </c>
      <c r="G4" s="240">
        <v>47.5</v>
      </c>
      <c r="H4" s="241">
        <v>2019</v>
      </c>
      <c r="I4" s="239" t="s">
        <v>165</v>
      </c>
      <c r="J4" s="240">
        <v>95</v>
      </c>
      <c r="K4" s="241">
        <v>2019</v>
      </c>
      <c r="L4" s="239" t="s">
        <v>165</v>
      </c>
      <c r="M4" s="240">
        <v>207.5</v>
      </c>
      <c r="N4" s="242">
        <v>2019</v>
      </c>
    </row>
    <row r="5" spans="1:14" ht="13.5" thickBot="1" x14ac:dyDescent="0.25">
      <c r="A5" s="243" t="s">
        <v>163</v>
      </c>
      <c r="B5" s="244" t="s">
        <v>166</v>
      </c>
      <c r="C5" s="245" t="s">
        <v>167</v>
      </c>
      <c r="D5" s="246">
        <v>92.5</v>
      </c>
      <c r="E5" s="247">
        <v>2018</v>
      </c>
      <c r="F5" s="248" t="s">
        <v>165</v>
      </c>
      <c r="G5" s="246">
        <v>47.5</v>
      </c>
      <c r="H5" s="247" t="s">
        <v>168</v>
      </c>
      <c r="I5" s="245" t="s">
        <v>167</v>
      </c>
      <c r="J5" s="246">
        <v>115</v>
      </c>
      <c r="K5" s="247">
        <v>2018</v>
      </c>
      <c r="L5" s="245" t="s">
        <v>167</v>
      </c>
      <c r="M5" s="246">
        <v>252.5</v>
      </c>
      <c r="N5" s="249">
        <v>2018</v>
      </c>
    </row>
    <row r="6" spans="1:14" ht="13.5" thickTop="1" x14ac:dyDescent="0.2">
      <c r="A6" s="250" t="s">
        <v>169</v>
      </c>
      <c r="B6" s="238" t="s">
        <v>164</v>
      </c>
      <c r="C6" s="251" t="s">
        <v>170</v>
      </c>
      <c r="D6" s="252">
        <v>102.5</v>
      </c>
      <c r="E6" s="253">
        <v>2012</v>
      </c>
      <c r="F6" s="251" t="s">
        <v>170</v>
      </c>
      <c r="G6" s="252">
        <v>65</v>
      </c>
      <c r="H6" s="253">
        <v>2012</v>
      </c>
      <c r="I6" s="251" t="s">
        <v>170</v>
      </c>
      <c r="J6" s="252">
        <v>125</v>
      </c>
      <c r="K6" s="253">
        <v>2012</v>
      </c>
      <c r="L6" s="251" t="s">
        <v>170</v>
      </c>
      <c r="M6" s="252">
        <v>292.5</v>
      </c>
      <c r="N6" s="254">
        <v>2012</v>
      </c>
    </row>
    <row r="7" spans="1:14" x14ac:dyDescent="0.2">
      <c r="A7" s="250" t="s">
        <v>169</v>
      </c>
      <c r="B7" s="255" t="s">
        <v>166</v>
      </c>
      <c r="C7" s="251" t="s">
        <v>171</v>
      </c>
      <c r="D7" s="256">
        <v>160.5</v>
      </c>
      <c r="E7" s="257" t="s">
        <v>172</v>
      </c>
      <c r="F7" s="251" t="s">
        <v>171</v>
      </c>
      <c r="G7" s="256">
        <v>96</v>
      </c>
      <c r="H7" s="257" t="s">
        <v>173</v>
      </c>
      <c r="I7" s="251" t="s">
        <v>171</v>
      </c>
      <c r="J7" s="256">
        <v>170</v>
      </c>
      <c r="K7" s="257" t="s">
        <v>174</v>
      </c>
      <c r="L7" s="251" t="s">
        <v>171</v>
      </c>
      <c r="M7" s="256">
        <v>426.5</v>
      </c>
      <c r="N7" s="258" t="s">
        <v>173</v>
      </c>
    </row>
    <row r="8" spans="1:14" x14ac:dyDescent="0.2">
      <c r="A8" s="259" t="s">
        <v>169</v>
      </c>
      <c r="B8" s="260" t="s">
        <v>175</v>
      </c>
      <c r="C8" s="251" t="s">
        <v>171</v>
      </c>
      <c r="D8" s="256">
        <v>160.5</v>
      </c>
      <c r="E8" s="257" t="s">
        <v>172</v>
      </c>
      <c r="F8" s="251" t="s">
        <v>171</v>
      </c>
      <c r="G8" s="256">
        <v>96</v>
      </c>
      <c r="H8" s="257" t="s">
        <v>173</v>
      </c>
      <c r="I8" s="251" t="s">
        <v>171</v>
      </c>
      <c r="J8" s="261">
        <v>170</v>
      </c>
      <c r="K8" s="257" t="s">
        <v>174</v>
      </c>
      <c r="L8" s="251" t="s">
        <v>171</v>
      </c>
      <c r="M8" s="256">
        <v>426.5</v>
      </c>
      <c r="N8" s="262" t="s">
        <v>173</v>
      </c>
    </row>
    <row r="9" spans="1:14" x14ac:dyDescent="0.2">
      <c r="A9" s="259" t="s">
        <v>169</v>
      </c>
      <c r="B9" s="260" t="s">
        <v>176</v>
      </c>
      <c r="C9" s="263" t="s">
        <v>177</v>
      </c>
      <c r="D9" s="256">
        <v>125</v>
      </c>
      <c r="E9" s="257" t="s">
        <v>174</v>
      </c>
      <c r="F9" s="263" t="s">
        <v>177</v>
      </c>
      <c r="G9" s="256">
        <v>80</v>
      </c>
      <c r="H9" s="257" t="s">
        <v>174</v>
      </c>
      <c r="I9" s="263" t="s">
        <v>177</v>
      </c>
      <c r="J9" s="256">
        <v>155.5</v>
      </c>
      <c r="K9" s="257" t="s">
        <v>178</v>
      </c>
      <c r="L9" s="263" t="s">
        <v>177</v>
      </c>
      <c r="M9" s="256">
        <v>360</v>
      </c>
      <c r="N9" s="262" t="s">
        <v>174</v>
      </c>
    </row>
    <row r="10" spans="1:14" x14ac:dyDescent="0.2">
      <c r="A10" s="259" t="s">
        <v>169</v>
      </c>
      <c r="B10" s="260" t="s">
        <v>179</v>
      </c>
      <c r="C10" s="263" t="s">
        <v>180</v>
      </c>
      <c r="D10" s="264">
        <v>97.5</v>
      </c>
      <c r="E10" s="257">
        <v>2018</v>
      </c>
      <c r="F10" s="263" t="s">
        <v>180</v>
      </c>
      <c r="G10" s="264">
        <v>70</v>
      </c>
      <c r="H10" s="253">
        <v>2019</v>
      </c>
      <c r="I10" s="263" t="s">
        <v>180</v>
      </c>
      <c r="J10" s="264">
        <v>127.5</v>
      </c>
      <c r="K10" s="253">
        <v>2019</v>
      </c>
      <c r="L10" s="263" t="s">
        <v>180</v>
      </c>
      <c r="M10" s="264">
        <v>292.5</v>
      </c>
      <c r="N10" s="254">
        <v>2019</v>
      </c>
    </row>
    <row r="11" spans="1:14" x14ac:dyDescent="0.2">
      <c r="A11" s="259" t="s">
        <v>169</v>
      </c>
      <c r="B11" s="260" t="s">
        <v>181</v>
      </c>
      <c r="C11" s="263" t="s">
        <v>182</v>
      </c>
      <c r="D11" s="264">
        <v>67.5</v>
      </c>
      <c r="E11" s="253">
        <v>2015</v>
      </c>
      <c r="F11" s="263" t="s">
        <v>182</v>
      </c>
      <c r="G11" s="264">
        <v>43</v>
      </c>
      <c r="H11" s="253">
        <v>2016</v>
      </c>
      <c r="I11" s="263" t="s">
        <v>182</v>
      </c>
      <c r="J11" s="264">
        <v>95</v>
      </c>
      <c r="K11" s="253">
        <v>2015</v>
      </c>
      <c r="L11" s="263" t="s">
        <v>182</v>
      </c>
      <c r="M11" s="264">
        <v>205</v>
      </c>
      <c r="N11" s="254">
        <v>2015</v>
      </c>
    </row>
    <row r="12" spans="1:14" ht="13.5" thickBot="1" x14ac:dyDescent="0.25">
      <c r="A12" s="265" t="s">
        <v>169</v>
      </c>
      <c r="B12" s="266" t="s">
        <v>183</v>
      </c>
      <c r="C12" s="248"/>
      <c r="D12" s="246">
        <v>0</v>
      </c>
      <c r="E12" s="267"/>
      <c r="F12" s="248"/>
      <c r="G12" s="246">
        <v>0</v>
      </c>
      <c r="H12" s="267"/>
      <c r="I12" s="245"/>
      <c r="J12" s="246">
        <v>0</v>
      </c>
      <c r="K12" s="267"/>
      <c r="L12" s="248"/>
      <c r="M12" s="246">
        <v>0</v>
      </c>
      <c r="N12" s="268"/>
    </row>
    <row r="13" spans="1:14" ht="13.5" thickTop="1" x14ac:dyDescent="0.2">
      <c r="A13" s="237" t="s">
        <v>184</v>
      </c>
      <c r="B13" s="238" t="s">
        <v>164</v>
      </c>
      <c r="C13" s="269" t="s">
        <v>185</v>
      </c>
      <c r="D13" s="252">
        <v>112.5</v>
      </c>
      <c r="E13" s="253" t="s">
        <v>186</v>
      </c>
      <c r="F13" s="269" t="s">
        <v>185</v>
      </c>
      <c r="G13" s="252">
        <v>57.5</v>
      </c>
      <c r="H13" s="253" t="s">
        <v>186</v>
      </c>
      <c r="I13" s="269" t="s">
        <v>185</v>
      </c>
      <c r="J13" s="252">
        <v>137.5</v>
      </c>
      <c r="K13" s="253" t="s">
        <v>187</v>
      </c>
      <c r="L13" s="270" t="s">
        <v>185</v>
      </c>
      <c r="M13" s="252">
        <v>295</v>
      </c>
      <c r="N13" s="271" t="s">
        <v>186</v>
      </c>
    </row>
    <row r="14" spans="1:14" x14ac:dyDescent="0.2">
      <c r="A14" s="237" t="s">
        <v>184</v>
      </c>
      <c r="B14" s="272" t="s">
        <v>166</v>
      </c>
      <c r="C14" s="263" t="s">
        <v>171</v>
      </c>
      <c r="D14" s="256">
        <v>165.5</v>
      </c>
      <c r="E14" s="257" t="s">
        <v>168</v>
      </c>
      <c r="F14" s="263" t="s">
        <v>171</v>
      </c>
      <c r="G14" s="256">
        <v>95</v>
      </c>
      <c r="H14" s="257" t="s">
        <v>168</v>
      </c>
      <c r="I14" s="263" t="s">
        <v>171</v>
      </c>
      <c r="J14" s="256">
        <v>172.5</v>
      </c>
      <c r="K14" s="257" t="s">
        <v>188</v>
      </c>
      <c r="L14" s="263" t="s">
        <v>171</v>
      </c>
      <c r="M14" s="256">
        <v>430.5</v>
      </c>
      <c r="N14" s="258" t="s">
        <v>168</v>
      </c>
    </row>
    <row r="15" spans="1:14" x14ac:dyDescent="0.2">
      <c r="A15" s="250" t="s">
        <v>184</v>
      </c>
      <c r="B15" s="260" t="s">
        <v>175</v>
      </c>
      <c r="C15" s="263" t="s">
        <v>189</v>
      </c>
      <c r="D15" s="256">
        <v>168</v>
      </c>
      <c r="E15" s="257" t="s">
        <v>172</v>
      </c>
      <c r="F15" s="263" t="s">
        <v>190</v>
      </c>
      <c r="G15" s="256">
        <v>101</v>
      </c>
      <c r="H15" s="257" t="s">
        <v>178</v>
      </c>
      <c r="I15" s="263" t="s">
        <v>191</v>
      </c>
      <c r="J15" s="256">
        <v>197.5</v>
      </c>
      <c r="K15" s="257" t="s">
        <v>174</v>
      </c>
      <c r="L15" s="263" t="s">
        <v>189</v>
      </c>
      <c r="M15" s="256">
        <v>445</v>
      </c>
      <c r="N15" s="262" t="s">
        <v>174</v>
      </c>
    </row>
    <row r="16" spans="1:14" x14ac:dyDescent="0.2">
      <c r="A16" s="250" t="s">
        <v>184</v>
      </c>
      <c r="B16" s="260" t="s">
        <v>176</v>
      </c>
      <c r="C16" s="273" t="s">
        <v>192</v>
      </c>
      <c r="D16" s="256">
        <v>107.5</v>
      </c>
      <c r="E16" s="257">
        <v>2017</v>
      </c>
      <c r="F16" s="273" t="s">
        <v>192</v>
      </c>
      <c r="G16" s="256">
        <v>72.5</v>
      </c>
      <c r="H16" s="257">
        <v>2019</v>
      </c>
      <c r="I16" s="273" t="s">
        <v>192</v>
      </c>
      <c r="J16" s="256">
        <v>125</v>
      </c>
      <c r="K16" s="257">
        <v>2019</v>
      </c>
      <c r="L16" s="273" t="s">
        <v>192</v>
      </c>
      <c r="M16" s="256">
        <v>305</v>
      </c>
      <c r="N16" s="262">
        <v>2019</v>
      </c>
    </row>
    <row r="17" spans="1:14" x14ac:dyDescent="0.2">
      <c r="A17" s="250" t="s">
        <v>184</v>
      </c>
      <c r="B17" s="260" t="s">
        <v>179</v>
      </c>
      <c r="C17" s="263" t="s">
        <v>180</v>
      </c>
      <c r="D17" s="264">
        <v>107.5</v>
      </c>
      <c r="E17" s="257" t="s">
        <v>193</v>
      </c>
      <c r="F17" s="263" t="s">
        <v>180</v>
      </c>
      <c r="G17" s="264">
        <v>72.5</v>
      </c>
      <c r="H17" s="253" t="s">
        <v>193</v>
      </c>
      <c r="I17" s="263" t="s">
        <v>180</v>
      </c>
      <c r="J17" s="264">
        <v>132.5</v>
      </c>
      <c r="K17" s="253" t="s">
        <v>193</v>
      </c>
      <c r="L17" s="263" t="s">
        <v>180</v>
      </c>
      <c r="M17" s="264">
        <v>312.5</v>
      </c>
      <c r="N17" s="254" t="s">
        <v>193</v>
      </c>
    </row>
    <row r="18" spans="1:14" x14ac:dyDescent="0.2">
      <c r="A18" s="250" t="s">
        <v>184</v>
      </c>
      <c r="B18" s="260" t="s">
        <v>181</v>
      </c>
      <c r="C18" s="263" t="s">
        <v>182</v>
      </c>
      <c r="D18" s="264">
        <v>80</v>
      </c>
      <c r="E18" s="253">
        <v>2018</v>
      </c>
      <c r="F18" s="263" t="s">
        <v>182</v>
      </c>
      <c r="G18" s="264">
        <v>44</v>
      </c>
      <c r="H18" s="253">
        <v>2018</v>
      </c>
      <c r="I18" s="263" t="s">
        <v>182</v>
      </c>
      <c r="J18" s="264">
        <v>106</v>
      </c>
      <c r="K18" s="253">
        <v>2018</v>
      </c>
      <c r="L18" s="263" t="s">
        <v>182</v>
      </c>
      <c r="M18" s="264">
        <v>230</v>
      </c>
      <c r="N18" s="254">
        <v>2018</v>
      </c>
    </row>
    <row r="19" spans="1:14" ht="13.5" thickBot="1" x14ac:dyDescent="0.25">
      <c r="A19" s="265" t="s">
        <v>184</v>
      </c>
      <c r="B19" s="266" t="s">
        <v>183</v>
      </c>
      <c r="C19" s="248"/>
      <c r="D19" s="246">
        <v>0</v>
      </c>
      <c r="E19" s="267"/>
      <c r="F19" s="245"/>
      <c r="G19" s="246">
        <v>0</v>
      </c>
      <c r="H19" s="267"/>
      <c r="I19" s="245"/>
      <c r="J19" s="246">
        <v>0</v>
      </c>
      <c r="K19" s="267"/>
      <c r="L19" s="248"/>
      <c r="M19" s="246">
        <v>0</v>
      </c>
      <c r="N19" s="268"/>
    </row>
    <row r="20" spans="1:14" ht="13.5" thickTop="1" x14ac:dyDescent="0.2">
      <c r="A20" s="250" t="s">
        <v>194</v>
      </c>
      <c r="B20" s="238" t="s">
        <v>164</v>
      </c>
      <c r="C20" s="269" t="s">
        <v>195</v>
      </c>
      <c r="D20" s="252">
        <v>107.5</v>
      </c>
      <c r="E20" s="253" t="s">
        <v>168</v>
      </c>
      <c r="F20" s="269" t="s">
        <v>195</v>
      </c>
      <c r="G20" s="252">
        <v>65</v>
      </c>
      <c r="H20" s="253" t="s">
        <v>168</v>
      </c>
      <c r="I20" s="269" t="s">
        <v>196</v>
      </c>
      <c r="J20" s="252">
        <v>120</v>
      </c>
      <c r="K20" s="274">
        <v>2018</v>
      </c>
      <c r="L20" s="269" t="s">
        <v>195</v>
      </c>
      <c r="M20" s="252">
        <v>282.5</v>
      </c>
      <c r="N20" s="271" t="s">
        <v>168</v>
      </c>
    </row>
    <row r="21" spans="1:14" x14ac:dyDescent="0.2">
      <c r="A21" s="250" t="s">
        <v>194</v>
      </c>
      <c r="B21" s="272" t="s">
        <v>166</v>
      </c>
      <c r="C21" s="263" t="s">
        <v>197</v>
      </c>
      <c r="D21" s="256">
        <v>178</v>
      </c>
      <c r="E21" s="257" t="s">
        <v>198</v>
      </c>
      <c r="F21" s="263" t="s">
        <v>197</v>
      </c>
      <c r="G21" s="256">
        <v>100</v>
      </c>
      <c r="H21" s="257" t="s">
        <v>199</v>
      </c>
      <c r="I21" s="263" t="s">
        <v>197</v>
      </c>
      <c r="J21" s="256">
        <v>223</v>
      </c>
      <c r="K21" s="257" t="s">
        <v>199</v>
      </c>
      <c r="L21" s="263" t="s">
        <v>197</v>
      </c>
      <c r="M21" s="256">
        <v>495.5</v>
      </c>
      <c r="N21" s="257" t="s">
        <v>199</v>
      </c>
    </row>
    <row r="22" spans="1:14" x14ac:dyDescent="0.2">
      <c r="A22" s="250" t="s">
        <v>194</v>
      </c>
      <c r="B22" s="260" t="s">
        <v>175</v>
      </c>
      <c r="C22" s="263" t="s">
        <v>197</v>
      </c>
      <c r="D22" s="256">
        <v>178</v>
      </c>
      <c r="E22" s="257" t="s">
        <v>198</v>
      </c>
      <c r="F22" s="263" t="s">
        <v>200</v>
      </c>
      <c r="G22" s="256">
        <v>103.5</v>
      </c>
      <c r="H22" s="257">
        <v>2018</v>
      </c>
      <c r="I22" s="263" t="s">
        <v>197</v>
      </c>
      <c r="J22" s="256">
        <v>223</v>
      </c>
      <c r="K22" s="257" t="s">
        <v>199</v>
      </c>
      <c r="L22" s="263" t="s">
        <v>197</v>
      </c>
      <c r="M22" s="256">
        <v>495.5</v>
      </c>
      <c r="N22" s="257" t="s">
        <v>199</v>
      </c>
    </row>
    <row r="23" spans="1:14" x14ac:dyDescent="0.2">
      <c r="A23" s="250" t="s">
        <v>194</v>
      </c>
      <c r="B23" s="260" t="s">
        <v>176</v>
      </c>
      <c r="C23" s="263" t="s">
        <v>201</v>
      </c>
      <c r="D23" s="256">
        <v>123</v>
      </c>
      <c r="E23" s="257" t="s">
        <v>202</v>
      </c>
      <c r="F23" s="263" t="s">
        <v>203</v>
      </c>
      <c r="G23" s="256">
        <v>77.5</v>
      </c>
      <c r="H23" s="257">
        <v>2019</v>
      </c>
      <c r="I23" s="263" t="s">
        <v>204</v>
      </c>
      <c r="J23" s="256">
        <v>155</v>
      </c>
      <c r="K23" s="257" t="s">
        <v>174</v>
      </c>
      <c r="L23" s="263" t="s">
        <v>204</v>
      </c>
      <c r="M23" s="256">
        <v>345</v>
      </c>
      <c r="N23" s="262" t="s">
        <v>174</v>
      </c>
    </row>
    <row r="24" spans="1:14" x14ac:dyDescent="0.2">
      <c r="A24" s="250" t="s">
        <v>194</v>
      </c>
      <c r="B24" s="260" t="s">
        <v>179</v>
      </c>
      <c r="C24" s="263" t="s">
        <v>180</v>
      </c>
      <c r="D24" s="264">
        <v>111.5</v>
      </c>
      <c r="E24" s="257" t="s">
        <v>202</v>
      </c>
      <c r="F24" s="275" t="s">
        <v>205</v>
      </c>
      <c r="G24" s="264">
        <v>92.5</v>
      </c>
      <c r="H24" s="253">
        <v>2018</v>
      </c>
      <c r="I24" s="276" t="s">
        <v>206</v>
      </c>
      <c r="J24" s="264">
        <v>150</v>
      </c>
      <c r="K24" s="253">
        <v>2015</v>
      </c>
      <c r="L24" s="263" t="s">
        <v>207</v>
      </c>
      <c r="M24" s="264">
        <v>321</v>
      </c>
      <c r="N24" s="254">
        <v>2019</v>
      </c>
    </row>
    <row r="25" spans="1:14" x14ac:dyDescent="0.2">
      <c r="A25" s="250" t="s">
        <v>194</v>
      </c>
      <c r="B25" s="260" t="s">
        <v>181</v>
      </c>
      <c r="C25" s="263" t="s">
        <v>206</v>
      </c>
      <c r="D25" s="264">
        <v>110</v>
      </c>
      <c r="E25" s="253">
        <v>2016</v>
      </c>
      <c r="F25" s="263" t="s">
        <v>208</v>
      </c>
      <c r="G25" s="264">
        <v>60</v>
      </c>
      <c r="H25" s="253" t="s">
        <v>209</v>
      </c>
      <c r="I25" s="276" t="s">
        <v>206</v>
      </c>
      <c r="J25" s="264">
        <v>155.5</v>
      </c>
      <c r="K25" s="253">
        <v>2017</v>
      </c>
      <c r="L25" s="276" t="s">
        <v>206</v>
      </c>
      <c r="M25" s="264">
        <v>315.5</v>
      </c>
      <c r="N25" s="254">
        <v>2016</v>
      </c>
    </row>
    <row r="26" spans="1:14" ht="13.5" thickBot="1" x14ac:dyDescent="0.25">
      <c r="A26" s="265" t="s">
        <v>194</v>
      </c>
      <c r="B26" s="266" t="s">
        <v>183</v>
      </c>
      <c r="C26" s="248"/>
      <c r="D26" s="246">
        <v>0</v>
      </c>
      <c r="E26" s="267"/>
      <c r="F26" s="245"/>
      <c r="G26" s="246">
        <v>0</v>
      </c>
      <c r="H26" s="267"/>
      <c r="I26" s="245"/>
      <c r="J26" s="246">
        <v>0</v>
      </c>
      <c r="K26" s="267"/>
      <c r="L26" s="248"/>
      <c r="M26" s="246">
        <v>0</v>
      </c>
      <c r="N26" s="268"/>
    </row>
    <row r="27" spans="1:14" ht="13.5" thickTop="1" x14ac:dyDescent="0.2">
      <c r="A27" s="250" t="s">
        <v>210</v>
      </c>
      <c r="B27" s="238" t="s">
        <v>164</v>
      </c>
      <c r="C27" s="269" t="s">
        <v>211</v>
      </c>
      <c r="D27" s="252">
        <v>160</v>
      </c>
      <c r="E27" s="253" t="s">
        <v>212</v>
      </c>
      <c r="F27" s="251" t="s">
        <v>213</v>
      </c>
      <c r="G27" s="252">
        <v>87.5</v>
      </c>
      <c r="H27" s="253" t="s">
        <v>168</v>
      </c>
      <c r="I27" s="270" t="s">
        <v>211</v>
      </c>
      <c r="J27" s="252">
        <v>190</v>
      </c>
      <c r="K27" s="253" t="s">
        <v>212</v>
      </c>
      <c r="L27" s="270" t="s">
        <v>211</v>
      </c>
      <c r="M27" s="252">
        <v>435</v>
      </c>
      <c r="N27" s="254" t="s">
        <v>212</v>
      </c>
    </row>
    <row r="28" spans="1:14" x14ac:dyDescent="0.2">
      <c r="A28" s="250" t="s">
        <v>210</v>
      </c>
      <c r="B28" s="272" t="s">
        <v>166</v>
      </c>
      <c r="C28" s="263" t="s">
        <v>214</v>
      </c>
      <c r="D28" s="256">
        <v>184</v>
      </c>
      <c r="E28" s="257" t="s">
        <v>199</v>
      </c>
      <c r="F28" s="263" t="s">
        <v>211</v>
      </c>
      <c r="G28" s="256">
        <v>105</v>
      </c>
      <c r="H28" s="257" t="s">
        <v>198</v>
      </c>
      <c r="I28" s="263" t="s">
        <v>211</v>
      </c>
      <c r="J28" s="256">
        <v>216</v>
      </c>
      <c r="K28" s="257" t="s">
        <v>198</v>
      </c>
      <c r="L28" s="263" t="s">
        <v>211</v>
      </c>
      <c r="M28" s="256">
        <v>500</v>
      </c>
      <c r="N28" s="258" t="s">
        <v>168</v>
      </c>
    </row>
    <row r="29" spans="1:14" x14ac:dyDescent="0.2">
      <c r="A29" s="250" t="s">
        <v>210</v>
      </c>
      <c r="B29" s="260" t="s">
        <v>175</v>
      </c>
      <c r="C29" s="263" t="s">
        <v>215</v>
      </c>
      <c r="D29" s="256">
        <v>213</v>
      </c>
      <c r="E29" s="257" t="s">
        <v>188</v>
      </c>
      <c r="F29" s="263" t="s">
        <v>215</v>
      </c>
      <c r="G29" s="256">
        <v>112.5</v>
      </c>
      <c r="H29" s="257" t="s">
        <v>216</v>
      </c>
      <c r="I29" s="263" t="s">
        <v>215</v>
      </c>
      <c r="J29" s="256">
        <v>231</v>
      </c>
      <c r="K29" s="257" t="s">
        <v>188</v>
      </c>
      <c r="L29" s="263" t="s">
        <v>215</v>
      </c>
      <c r="M29" s="256">
        <v>556.5</v>
      </c>
      <c r="N29" s="258" t="s">
        <v>188</v>
      </c>
    </row>
    <row r="30" spans="1:14" x14ac:dyDescent="0.2">
      <c r="A30" s="250" t="s">
        <v>210</v>
      </c>
      <c r="B30" s="272" t="s">
        <v>176</v>
      </c>
      <c r="C30" s="263" t="s">
        <v>217</v>
      </c>
      <c r="D30" s="256">
        <v>132.5</v>
      </c>
      <c r="E30" s="257">
        <v>2015</v>
      </c>
      <c r="F30" s="263" t="s">
        <v>203</v>
      </c>
      <c r="G30" s="256">
        <v>88</v>
      </c>
      <c r="H30" s="257">
        <v>2017</v>
      </c>
      <c r="I30" s="263" t="s">
        <v>218</v>
      </c>
      <c r="J30" s="256">
        <v>157.5</v>
      </c>
      <c r="K30" s="257" t="s">
        <v>216</v>
      </c>
      <c r="L30" s="263" t="s">
        <v>217</v>
      </c>
      <c r="M30" s="256">
        <v>360</v>
      </c>
      <c r="N30" s="262">
        <v>2015</v>
      </c>
    </row>
    <row r="31" spans="1:14" x14ac:dyDescent="0.2">
      <c r="A31" s="250" t="s">
        <v>210</v>
      </c>
      <c r="B31" s="272" t="s">
        <v>179</v>
      </c>
      <c r="C31" s="263" t="s">
        <v>219</v>
      </c>
      <c r="D31" s="256">
        <v>130</v>
      </c>
      <c r="E31" s="257" t="s">
        <v>202</v>
      </c>
      <c r="F31" s="263" t="s">
        <v>219</v>
      </c>
      <c r="G31" s="256">
        <v>85</v>
      </c>
      <c r="H31" s="257" t="s">
        <v>209</v>
      </c>
      <c r="I31" s="263" t="s">
        <v>219</v>
      </c>
      <c r="J31" s="256">
        <v>175</v>
      </c>
      <c r="K31" s="257" t="s">
        <v>209</v>
      </c>
      <c r="L31" s="263" t="s">
        <v>219</v>
      </c>
      <c r="M31" s="256">
        <v>390</v>
      </c>
      <c r="N31" s="262" t="s">
        <v>209</v>
      </c>
    </row>
    <row r="32" spans="1:14" x14ac:dyDescent="0.2">
      <c r="A32" s="250" t="s">
        <v>210</v>
      </c>
      <c r="B32" s="272" t="s">
        <v>181</v>
      </c>
      <c r="C32" s="263" t="s">
        <v>206</v>
      </c>
      <c r="D32" s="256">
        <v>107.5</v>
      </c>
      <c r="E32" s="257" t="s">
        <v>193</v>
      </c>
      <c r="F32" s="263" t="s">
        <v>220</v>
      </c>
      <c r="G32" s="256">
        <v>72.5</v>
      </c>
      <c r="H32" s="257">
        <v>2019</v>
      </c>
      <c r="I32" s="263" t="s">
        <v>206</v>
      </c>
      <c r="J32" s="256">
        <v>157.5</v>
      </c>
      <c r="K32" s="257" t="s">
        <v>193</v>
      </c>
      <c r="L32" s="263" t="s">
        <v>206</v>
      </c>
      <c r="M32" s="256">
        <v>320</v>
      </c>
      <c r="N32" s="262" t="s">
        <v>193</v>
      </c>
    </row>
    <row r="33" spans="1:14" ht="13.5" thickBot="1" x14ac:dyDescent="0.25">
      <c r="A33" s="265" t="s">
        <v>210</v>
      </c>
      <c r="B33" s="277" t="s">
        <v>183</v>
      </c>
      <c r="C33" s="248"/>
      <c r="D33" s="246">
        <v>0</v>
      </c>
      <c r="E33" s="267"/>
      <c r="F33" s="245"/>
      <c r="G33" s="246">
        <v>0</v>
      </c>
      <c r="H33" s="267"/>
      <c r="I33" s="245"/>
      <c r="J33" s="246">
        <v>0</v>
      </c>
      <c r="K33" s="267"/>
      <c r="L33" s="248"/>
      <c r="M33" s="246">
        <v>0</v>
      </c>
      <c r="N33" s="268"/>
    </row>
    <row r="34" spans="1:14" ht="13.5" thickTop="1" x14ac:dyDescent="0.2">
      <c r="A34" s="250" t="s">
        <v>221</v>
      </c>
      <c r="B34" s="238" t="s">
        <v>164</v>
      </c>
      <c r="C34" s="269" t="s">
        <v>222</v>
      </c>
      <c r="D34" s="252">
        <v>105</v>
      </c>
      <c r="E34" s="253" t="s">
        <v>168</v>
      </c>
      <c r="F34" s="269" t="s">
        <v>222</v>
      </c>
      <c r="G34" s="252">
        <v>55</v>
      </c>
      <c r="H34" s="253" t="s">
        <v>168</v>
      </c>
      <c r="I34" s="269" t="s">
        <v>222</v>
      </c>
      <c r="J34" s="252">
        <v>120</v>
      </c>
      <c r="K34" s="253" t="s">
        <v>168</v>
      </c>
      <c r="L34" s="269" t="s">
        <v>222</v>
      </c>
      <c r="M34" s="252">
        <v>280</v>
      </c>
      <c r="N34" s="278" t="s">
        <v>168</v>
      </c>
    </row>
    <row r="35" spans="1:14" x14ac:dyDescent="0.2">
      <c r="A35" s="250" t="s">
        <v>221</v>
      </c>
      <c r="B35" s="255" t="s">
        <v>166</v>
      </c>
      <c r="C35" s="263" t="s">
        <v>223</v>
      </c>
      <c r="D35" s="256">
        <v>180</v>
      </c>
      <c r="E35" s="257" t="s">
        <v>224</v>
      </c>
      <c r="F35" s="263" t="s">
        <v>225</v>
      </c>
      <c r="G35" s="256">
        <v>115</v>
      </c>
      <c r="H35" s="257" t="s">
        <v>199</v>
      </c>
      <c r="I35" s="263" t="s">
        <v>225</v>
      </c>
      <c r="J35" s="279">
        <v>218</v>
      </c>
      <c r="K35" s="257" t="s">
        <v>199</v>
      </c>
      <c r="L35" s="263" t="s">
        <v>225</v>
      </c>
      <c r="M35" s="256">
        <v>510.5</v>
      </c>
      <c r="N35" s="258" t="s">
        <v>199</v>
      </c>
    </row>
    <row r="36" spans="1:14" x14ac:dyDescent="0.2">
      <c r="A36" s="250" t="s">
        <v>221</v>
      </c>
      <c r="B36" s="260" t="s">
        <v>175</v>
      </c>
      <c r="C36" s="263" t="s">
        <v>215</v>
      </c>
      <c r="D36" s="256">
        <v>210.5</v>
      </c>
      <c r="E36" s="257" t="s">
        <v>174</v>
      </c>
      <c r="F36" s="263" t="s">
        <v>215</v>
      </c>
      <c r="G36" s="256">
        <v>115</v>
      </c>
      <c r="H36" s="257" t="s">
        <v>174</v>
      </c>
      <c r="I36" s="263" t="s">
        <v>215</v>
      </c>
      <c r="J36" s="279">
        <v>230</v>
      </c>
      <c r="K36" s="257" t="s">
        <v>187</v>
      </c>
      <c r="L36" s="263" t="s">
        <v>215</v>
      </c>
      <c r="M36" s="256">
        <v>550.5</v>
      </c>
      <c r="N36" s="258" t="s">
        <v>174</v>
      </c>
    </row>
    <row r="37" spans="1:14" x14ac:dyDescent="0.2">
      <c r="A37" s="250" t="s">
        <v>221</v>
      </c>
      <c r="B37" s="260" t="s">
        <v>176</v>
      </c>
      <c r="C37" s="273" t="s">
        <v>226</v>
      </c>
      <c r="D37" s="256">
        <v>92.5</v>
      </c>
      <c r="E37" s="257" t="s">
        <v>202</v>
      </c>
      <c r="F37" s="273" t="s">
        <v>226</v>
      </c>
      <c r="G37" s="256">
        <v>65</v>
      </c>
      <c r="H37" s="257" t="s">
        <v>209</v>
      </c>
      <c r="I37" s="273" t="s">
        <v>226</v>
      </c>
      <c r="J37" s="256">
        <v>130</v>
      </c>
      <c r="K37" s="257" t="s">
        <v>209</v>
      </c>
      <c r="L37" s="273" t="s">
        <v>226</v>
      </c>
      <c r="M37" s="256">
        <v>287.5</v>
      </c>
      <c r="N37" s="262" t="s">
        <v>209</v>
      </c>
    </row>
    <row r="38" spans="1:14" x14ac:dyDescent="0.2">
      <c r="A38" s="250" t="s">
        <v>221</v>
      </c>
      <c r="B38" s="260" t="s">
        <v>179</v>
      </c>
      <c r="C38" s="280" t="s">
        <v>227</v>
      </c>
      <c r="D38" s="264">
        <v>125</v>
      </c>
      <c r="E38" s="257" t="s">
        <v>202</v>
      </c>
      <c r="F38" s="280" t="s">
        <v>227</v>
      </c>
      <c r="G38" s="264">
        <v>72.5</v>
      </c>
      <c r="H38" s="257" t="s">
        <v>209</v>
      </c>
      <c r="I38" s="280" t="s">
        <v>228</v>
      </c>
      <c r="J38" s="264">
        <v>150</v>
      </c>
      <c r="K38" s="257" t="s">
        <v>209</v>
      </c>
      <c r="L38" s="280" t="s">
        <v>229</v>
      </c>
      <c r="M38" s="264">
        <v>333.5</v>
      </c>
      <c r="N38" s="258" t="s">
        <v>209</v>
      </c>
    </row>
    <row r="39" spans="1:14" x14ac:dyDescent="0.2">
      <c r="A39" s="250" t="s">
        <v>221</v>
      </c>
      <c r="B39" s="260" t="s">
        <v>181</v>
      </c>
      <c r="C39" s="280" t="s">
        <v>220</v>
      </c>
      <c r="D39" s="264">
        <v>95</v>
      </c>
      <c r="E39" s="253" t="s">
        <v>230</v>
      </c>
      <c r="F39" s="280" t="s">
        <v>220</v>
      </c>
      <c r="G39" s="264">
        <v>70</v>
      </c>
      <c r="H39" s="253" t="s">
        <v>230</v>
      </c>
      <c r="I39" s="280" t="s">
        <v>220</v>
      </c>
      <c r="J39" s="264">
        <v>127.5</v>
      </c>
      <c r="K39" s="253" t="s">
        <v>230</v>
      </c>
      <c r="L39" s="280" t="s">
        <v>220</v>
      </c>
      <c r="M39" s="264">
        <v>292.5</v>
      </c>
      <c r="N39" s="262" t="s">
        <v>230</v>
      </c>
    </row>
    <row r="40" spans="1:14" ht="13.5" thickBot="1" x14ac:dyDescent="0.25">
      <c r="A40" s="281" t="s">
        <v>221</v>
      </c>
      <c r="B40" s="266" t="s">
        <v>183</v>
      </c>
      <c r="C40" s="282"/>
      <c r="D40" s="246">
        <v>0</v>
      </c>
      <c r="E40" s="267"/>
      <c r="F40" s="245"/>
      <c r="G40" s="246">
        <v>0</v>
      </c>
      <c r="H40" s="267"/>
      <c r="I40" s="245"/>
      <c r="J40" s="246">
        <v>0</v>
      </c>
      <c r="K40" s="267"/>
      <c r="L40" s="248"/>
      <c r="M40" s="246">
        <v>0</v>
      </c>
      <c r="N40" s="268"/>
    </row>
    <row r="41" spans="1:14" ht="13.5" thickTop="1" x14ac:dyDescent="0.2">
      <c r="A41" s="259" t="s">
        <v>231</v>
      </c>
      <c r="B41" s="238" t="s">
        <v>164</v>
      </c>
      <c r="C41" s="283" t="s">
        <v>232</v>
      </c>
      <c r="D41" s="252">
        <v>95</v>
      </c>
      <c r="E41" s="253" t="s">
        <v>168</v>
      </c>
      <c r="F41" s="283" t="s">
        <v>232</v>
      </c>
      <c r="G41" s="252">
        <v>50</v>
      </c>
      <c r="H41" s="253" t="s">
        <v>168</v>
      </c>
      <c r="I41" s="283" t="s">
        <v>232</v>
      </c>
      <c r="J41" s="252">
        <v>115</v>
      </c>
      <c r="K41" s="253" t="s">
        <v>168</v>
      </c>
      <c r="L41" s="283" t="s">
        <v>232</v>
      </c>
      <c r="M41" s="252">
        <v>260</v>
      </c>
      <c r="N41" s="278" t="s">
        <v>168</v>
      </c>
    </row>
    <row r="42" spans="1:14" x14ac:dyDescent="0.2">
      <c r="A42" s="259" t="s">
        <v>231</v>
      </c>
      <c r="B42" s="272" t="s">
        <v>166</v>
      </c>
      <c r="C42" s="280" t="s">
        <v>233</v>
      </c>
      <c r="D42" s="261">
        <v>200</v>
      </c>
      <c r="E42" s="257" t="s">
        <v>198</v>
      </c>
      <c r="F42" s="280" t="s">
        <v>233</v>
      </c>
      <c r="G42" s="261">
        <v>145.5</v>
      </c>
      <c r="H42" s="257" t="s">
        <v>198</v>
      </c>
      <c r="I42" s="280" t="s">
        <v>233</v>
      </c>
      <c r="J42" s="261">
        <v>220</v>
      </c>
      <c r="K42" s="257" t="s">
        <v>199</v>
      </c>
      <c r="L42" s="280" t="s">
        <v>233</v>
      </c>
      <c r="M42" s="261">
        <v>555.5</v>
      </c>
      <c r="N42" s="262" t="s">
        <v>198</v>
      </c>
    </row>
    <row r="43" spans="1:14" x14ac:dyDescent="0.2">
      <c r="A43" s="259" t="s">
        <v>231</v>
      </c>
      <c r="B43" s="260" t="s">
        <v>175</v>
      </c>
      <c r="C43" s="280" t="s">
        <v>233</v>
      </c>
      <c r="D43" s="261">
        <v>200</v>
      </c>
      <c r="E43" s="257" t="s">
        <v>198</v>
      </c>
      <c r="F43" s="280" t="s">
        <v>233</v>
      </c>
      <c r="G43" s="261">
        <v>145.5</v>
      </c>
      <c r="H43" s="257" t="s">
        <v>198</v>
      </c>
      <c r="I43" s="280" t="s">
        <v>233</v>
      </c>
      <c r="J43" s="261">
        <v>220</v>
      </c>
      <c r="K43" s="257" t="s">
        <v>199</v>
      </c>
      <c r="L43" s="280" t="s">
        <v>233</v>
      </c>
      <c r="M43" s="261">
        <v>555.5</v>
      </c>
      <c r="N43" s="258" t="s">
        <v>198</v>
      </c>
    </row>
    <row r="44" spans="1:14" x14ac:dyDescent="0.2">
      <c r="A44" s="259" t="s">
        <v>231</v>
      </c>
      <c r="B44" s="260" t="s">
        <v>176</v>
      </c>
      <c r="C44" s="284" t="s">
        <v>234</v>
      </c>
      <c r="D44" s="256">
        <v>115</v>
      </c>
      <c r="E44" s="257" t="s">
        <v>202</v>
      </c>
      <c r="F44" s="273" t="s">
        <v>235</v>
      </c>
      <c r="G44" s="256">
        <v>65</v>
      </c>
      <c r="H44" s="257" t="s">
        <v>209</v>
      </c>
      <c r="I44" s="284" t="s">
        <v>234</v>
      </c>
      <c r="J44" s="256">
        <v>150</v>
      </c>
      <c r="K44" s="257" t="s">
        <v>209</v>
      </c>
      <c r="L44" s="284" t="s">
        <v>234</v>
      </c>
      <c r="M44" s="256">
        <v>327.5</v>
      </c>
      <c r="N44" s="262" t="s">
        <v>209</v>
      </c>
    </row>
    <row r="45" spans="1:14" x14ac:dyDescent="0.2">
      <c r="A45" s="259" t="s">
        <v>231</v>
      </c>
      <c r="B45" s="260" t="s">
        <v>179</v>
      </c>
      <c r="C45" s="284" t="s">
        <v>236</v>
      </c>
      <c r="D45" s="264">
        <v>135</v>
      </c>
      <c r="E45" s="253" t="s">
        <v>202</v>
      </c>
      <c r="F45" s="284" t="s">
        <v>236</v>
      </c>
      <c r="G45" s="264">
        <v>65</v>
      </c>
      <c r="H45" s="253" t="s">
        <v>209</v>
      </c>
      <c r="I45" s="284" t="s">
        <v>236</v>
      </c>
      <c r="J45" s="264">
        <v>150</v>
      </c>
      <c r="K45" s="253" t="s">
        <v>209</v>
      </c>
      <c r="L45" s="284" t="s">
        <v>236</v>
      </c>
      <c r="M45" s="264">
        <v>350</v>
      </c>
      <c r="N45" s="254" t="s">
        <v>209</v>
      </c>
    </row>
    <row r="46" spans="1:14" x14ac:dyDescent="0.2">
      <c r="A46" s="259" t="s">
        <v>231</v>
      </c>
      <c r="B46" s="260" t="s">
        <v>181</v>
      </c>
      <c r="C46" s="284"/>
      <c r="D46" s="264">
        <v>0</v>
      </c>
      <c r="E46" s="274"/>
      <c r="F46" s="273"/>
      <c r="G46" s="264">
        <v>0</v>
      </c>
      <c r="H46" s="274"/>
      <c r="I46" s="276"/>
      <c r="J46" s="264">
        <v>0</v>
      </c>
      <c r="K46" s="274"/>
      <c r="L46" s="263"/>
      <c r="M46" s="264">
        <v>0</v>
      </c>
      <c r="N46" s="285"/>
    </row>
    <row r="47" spans="1:14" ht="13.5" thickBot="1" x14ac:dyDescent="0.25">
      <c r="A47" s="286" t="s">
        <v>231</v>
      </c>
      <c r="B47" s="266" t="s">
        <v>183</v>
      </c>
      <c r="C47" s="282"/>
      <c r="D47" s="246">
        <v>0</v>
      </c>
      <c r="E47" s="267"/>
      <c r="F47" s="282"/>
      <c r="G47" s="246">
        <v>0</v>
      </c>
      <c r="H47" s="267"/>
      <c r="I47" s="245"/>
      <c r="J47" s="246">
        <v>0</v>
      </c>
      <c r="K47" s="267"/>
      <c r="L47" s="248"/>
      <c r="M47" s="246">
        <v>0</v>
      </c>
      <c r="N47" s="268"/>
    </row>
    <row r="48" spans="1:14" ht="13.5" thickTop="1" x14ac:dyDescent="0.2">
      <c r="A48" s="250" t="s">
        <v>237</v>
      </c>
      <c r="B48" s="238" t="s">
        <v>164</v>
      </c>
      <c r="C48" s="283"/>
      <c r="D48" s="252">
        <v>0</v>
      </c>
      <c r="E48" s="274"/>
      <c r="F48" s="283"/>
      <c r="G48" s="252">
        <v>0</v>
      </c>
      <c r="H48" s="274"/>
      <c r="I48" s="283" t="s">
        <v>238</v>
      </c>
      <c r="J48" s="252">
        <v>127.5</v>
      </c>
      <c r="K48" s="253">
        <v>2017</v>
      </c>
      <c r="L48" s="283" t="s">
        <v>238</v>
      </c>
      <c r="M48" s="252">
        <v>215</v>
      </c>
      <c r="N48" s="254">
        <v>2017</v>
      </c>
    </row>
    <row r="49" spans="1:14" x14ac:dyDescent="0.2">
      <c r="A49" s="250" t="s">
        <v>237</v>
      </c>
      <c r="B49" s="272" t="s">
        <v>166</v>
      </c>
      <c r="C49" s="280" t="s">
        <v>239</v>
      </c>
      <c r="D49" s="261">
        <v>200</v>
      </c>
      <c r="E49" s="257" t="s">
        <v>187</v>
      </c>
      <c r="F49" s="280" t="s">
        <v>239</v>
      </c>
      <c r="G49" s="261">
        <v>95</v>
      </c>
      <c r="H49" s="257" t="s">
        <v>187</v>
      </c>
      <c r="I49" s="280" t="s">
        <v>240</v>
      </c>
      <c r="J49" s="261">
        <v>190.5</v>
      </c>
      <c r="K49" s="257" t="s">
        <v>186</v>
      </c>
      <c r="L49" s="280" t="s">
        <v>239</v>
      </c>
      <c r="M49" s="261">
        <v>472.5</v>
      </c>
      <c r="N49" s="262" t="s">
        <v>187</v>
      </c>
    </row>
    <row r="50" spans="1:14" x14ac:dyDescent="0.2">
      <c r="A50" s="250" t="s">
        <v>237</v>
      </c>
      <c r="B50" s="260" t="s">
        <v>175</v>
      </c>
      <c r="C50" s="280" t="s">
        <v>239</v>
      </c>
      <c r="D50" s="261">
        <v>215</v>
      </c>
      <c r="E50" s="257" t="s">
        <v>174</v>
      </c>
      <c r="F50" s="284" t="s">
        <v>241</v>
      </c>
      <c r="G50" s="261">
        <v>110</v>
      </c>
      <c r="H50" s="257" t="s">
        <v>174</v>
      </c>
      <c r="I50" s="280" t="s">
        <v>242</v>
      </c>
      <c r="J50" s="261">
        <v>200.5</v>
      </c>
      <c r="K50" s="257" t="s">
        <v>174</v>
      </c>
      <c r="L50" s="280" t="s">
        <v>239</v>
      </c>
      <c r="M50" s="261">
        <v>515</v>
      </c>
      <c r="N50" s="262" t="s">
        <v>174</v>
      </c>
    </row>
    <row r="51" spans="1:14" x14ac:dyDescent="0.2">
      <c r="A51" s="250" t="s">
        <v>237</v>
      </c>
      <c r="B51" s="260" t="s">
        <v>176</v>
      </c>
      <c r="C51" s="284" t="s">
        <v>243</v>
      </c>
      <c r="D51" s="256">
        <v>105</v>
      </c>
      <c r="E51" s="257" t="s">
        <v>216</v>
      </c>
      <c r="F51" s="284" t="s">
        <v>243</v>
      </c>
      <c r="G51" s="256">
        <v>60</v>
      </c>
      <c r="H51" s="257" t="s">
        <v>244</v>
      </c>
      <c r="I51" s="284" t="s">
        <v>243</v>
      </c>
      <c r="J51" s="256">
        <v>115</v>
      </c>
      <c r="K51" s="257" t="s">
        <v>216</v>
      </c>
      <c r="L51" s="284" t="s">
        <v>243</v>
      </c>
      <c r="M51" s="256">
        <v>277.5</v>
      </c>
      <c r="N51" s="258" t="s">
        <v>216</v>
      </c>
    </row>
    <row r="52" spans="1:14" x14ac:dyDescent="0.2">
      <c r="A52" s="250" t="s">
        <v>237</v>
      </c>
      <c r="B52" s="260" t="s">
        <v>179</v>
      </c>
      <c r="C52" s="284" t="s">
        <v>236</v>
      </c>
      <c r="D52" s="264">
        <v>137.5</v>
      </c>
      <c r="E52" s="253" t="s">
        <v>244</v>
      </c>
      <c r="F52" s="284" t="s">
        <v>236</v>
      </c>
      <c r="G52" s="264">
        <v>75</v>
      </c>
      <c r="H52" s="253" t="s">
        <v>244</v>
      </c>
      <c r="I52" s="284" t="s">
        <v>236</v>
      </c>
      <c r="J52" s="264">
        <v>160</v>
      </c>
      <c r="K52" s="253" t="s">
        <v>244</v>
      </c>
      <c r="L52" s="284" t="s">
        <v>236</v>
      </c>
      <c r="M52" s="264">
        <v>372.5</v>
      </c>
      <c r="N52" s="262" t="s">
        <v>244</v>
      </c>
    </row>
    <row r="53" spans="1:14" x14ac:dyDescent="0.2">
      <c r="A53" s="250" t="s">
        <v>237</v>
      </c>
      <c r="B53" s="260" t="s">
        <v>181</v>
      </c>
      <c r="C53" s="284"/>
      <c r="D53" s="264"/>
      <c r="E53" s="274"/>
      <c r="F53" s="273"/>
      <c r="G53" s="264"/>
      <c r="H53" s="274"/>
      <c r="I53" s="276"/>
      <c r="J53" s="264"/>
      <c r="K53" s="274"/>
      <c r="L53" s="263"/>
      <c r="M53" s="264"/>
      <c r="N53" s="285"/>
    </row>
    <row r="54" spans="1:14" ht="13.5" thickBot="1" x14ac:dyDescent="0.25">
      <c r="A54" s="265" t="s">
        <v>237</v>
      </c>
      <c r="B54" s="266" t="s">
        <v>183</v>
      </c>
      <c r="C54" s="282"/>
      <c r="D54" s="246"/>
      <c r="E54" s="267"/>
      <c r="F54" s="282"/>
      <c r="G54" s="246"/>
      <c r="H54" s="267"/>
      <c r="I54" s="245"/>
      <c r="J54" s="246"/>
      <c r="K54" s="267"/>
      <c r="L54" s="248"/>
      <c r="M54" s="246"/>
      <c r="N54" s="268"/>
    </row>
    <row r="55" spans="1:14" ht="13.5" thickTop="1" x14ac:dyDescent="0.2">
      <c r="A55" s="250" t="s">
        <v>245</v>
      </c>
      <c r="B55" s="238" t="s">
        <v>164</v>
      </c>
      <c r="C55" s="283" t="s">
        <v>246</v>
      </c>
      <c r="D55" s="252">
        <v>170</v>
      </c>
      <c r="E55" s="253">
        <v>2018</v>
      </c>
      <c r="F55" s="283" t="s">
        <v>247</v>
      </c>
      <c r="G55" s="252">
        <v>72.5</v>
      </c>
      <c r="H55" s="253">
        <v>2019</v>
      </c>
      <c r="I55" s="270" t="s">
        <v>246</v>
      </c>
      <c r="J55" s="252">
        <v>170</v>
      </c>
      <c r="K55" s="253">
        <v>2018</v>
      </c>
      <c r="L55" s="287" t="s">
        <v>246</v>
      </c>
      <c r="M55" s="252">
        <v>410</v>
      </c>
      <c r="N55" s="254">
        <v>2018</v>
      </c>
    </row>
    <row r="56" spans="1:14" x14ac:dyDescent="0.2">
      <c r="A56" s="250" t="s">
        <v>245</v>
      </c>
      <c r="B56" s="272" t="s">
        <v>166</v>
      </c>
      <c r="C56" s="263" t="s">
        <v>246</v>
      </c>
      <c r="D56" s="256">
        <v>175</v>
      </c>
      <c r="E56" s="257">
        <v>2019</v>
      </c>
      <c r="F56" s="273" t="s">
        <v>248</v>
      </c>
      <c r="G56" s="256">
        <v>85</v>
      </c>
      <c r="H56" s="257">
        <v>2015</v>
      </c>
      <c r="I56" s="263" t="s">
        <v>246</v>
      </c>
      <c r="J56" s="256">
        <v>195</v>
      </c>
      <c r="K56" s="257">
        <v>2019</v>
      </c>
      <c r="L56" s="263" t="s">
        <v>246</v>
      </c>
      <c r="M56" s="256">
        <v>450</v>
      </c>
      <c r="N56" s="262">
        <v>2019</v>
      </c>
    </row>
    <row r="57" spans="1:14" x14ac:dyDescent="0.2">
      <c r="A57" s="250" t="s">
        <v>245</v>
      </c>
      <c r="B57" s="260" t="s">
        <v>175</v>
      </c>
      <c r="C57" s="283" t="s">
        <v>249</v>
      </c>
      <c r="D57" s="256">
        <v>252.5</v>
      </c>
      <c r="E57" s="257" t="s">
        <v>199</v>
      </c>
      <c r="F57" s="283" t="s">
        <v>249</v>
      </c>
      <c r="G57" s="256">
        <v>163</v>
      </c>
      <c r="H57" s="257" t="s">
        <v>173</v>
      </c>
      <c r="I57" s="283" t="s">
        <v>249</v>
      </c>
      <c r="J57" s="256">
        <v>240</v>
      </c>
      <c r="K57" s="257" t="s">
        <v>174</v>
      </c>
      <c r="L57" s="283" t="s">
        <v>249</v>
      </c>
      <c r="M57" s="256">
        <v>647.5</v>
      </c>
      <c r="N57" s="262" t="s">
        <v>174</v>
      </c>
    </row>
    <row r="58" spans="1:14" x14ac:dyDescent="0.2">
      <c r="A58" s="250" t="s">
        <v>245</v>
      </c>
      <c r="B58" s="288" t="s">
        <v>176</v>
      </c>
      <c r="C58" s="273"/>
      <c r="D58" s="264">
        <v>0</v>
      </c>
      <c r="E58" s="274"/>
      <c r="F58" s="273" t="s">
        <v>250</v>
      </c>
      <c r="G58" s="264">
        <v>72.5</v>
      </c>
      <c r="H58" s="253">
        <v>2016</v>
      </c>
      <c r="I58" s="273" t="s">
        <v>250</v>
      </c>
      <c r="J58" s="264">
        <v>127.5</v>
      </c>
      <c r="K58" s="289">
        <v>2016</v>
      </c>
      <c r="L58" s="263"/>
      <c r="M58" s="264">
        <v>0</v>
      </c>
      <c r="N58" s="285"/>
    </row>
    <row r="59" spans="1:14" x14ac:dyDescent="0.2">
      <c r="A59" s="290" t="s">
        <v>245</v>
      </c>
      <c r="B59" s="288" t="s">
        <v>179</v>
      </c>
      <c r="C59" s="273"/>
      <c r="D59" s="264">
        <v>0</v>
      </c>
      <c r="E59" s="274"/>
      <c r="F59" s="273" t="s">
        <v>250</v>
      </c>
      <c r="G59" s="291">
        <v>70</v>
      </c>
      <c r="H59" s="253">
        <v>2018</v>
      </c>
      <c r="I59" s="273" t="s">
        <v>250</v>
      </c>
      <c r="J59" s="291">
        <v>130</v>
      </c>
      <c r="K59" s="253">
        <v>2018</v>
      </c>
      <c r="L59" s="263"/>
      <c r="M59" s="291">
        <v>0</v>
      </c>
      <c r="N59" s="292"/>
    </row>
    <row r="60" spans="1:14" x14ac:dyDescent="0.2">
      <c r="A60" s="290" t="s">
        <v>245</v>
      </c>
      <c r="B60" s="288" t="s">
        <v>181</v>
      </c>
      <c r="C60" s="284"/>
      <c r="D60" s="291">
        <v>0</v>
      </c>
      <c r="E60" s="293"/>
      <c r="F60" s="284"/>
      <c r="G60" s="294">
        <v>0</v>
      </c>
      <c r="H60" s="293"/>
      <c r="I60" s="276"/>
      <c r="J60" s="294">
        <v>0</v>
      </c>
      <c r="K60" s="293"/>
      <c r="L60" s="263"/>
      <c r="M60" s="294">
        <v>0</v>
      </c>
      <c r="N60" s="295"/>
    </row>
    <row r="61" spans="1:14" ht="13.5" thickBot="1" x14ac:dyDescent="0.25">
      <c r="A61" s="265" t="s">
        <v>245</v>
      </c>
      <c r="B61" s="296" t="s">
        <v>183</v>
      </c>
      <c r="C61" s="282"/>
      <c r="D61" s="297">
        <v>0</v>
      </c>
      <c r="E61" s="267"/>
      <c r="F61" s="282"/>
      <c r="G61" s="297">
        <v>0</v>
      </c>
      <c r="H61" s="267"/>
      <c r="I61" s="245"/>
      <c r="J61" s="297">
        <v>0</v>
      </c>
      <c r="K61" s="267"/>
      <c r="L61" s="248"/>
      <c r="M61" s="297">
        <v>0</v>
      </c>
      <c r="N61" s="268"/>
    </row>
    <row r="62" spans="1:14" ht="13.5" thickTop="1" x14ac:dyDescent="0.2"/>
  </sheetData>
  <mergeCells count="5">
    <mergeCell ref="A1:N1"/>
    <mergeCell ref="A2:B3"/>
    <mergeCell ref="F2:H2"/>
    <mergeCell ref="I2:K2"/>
    <mergeCell ref="L2:N2"/>
  </mergeCells>
  <conditionalFormatting sqref="I5:I12 F5:F23 C5:C61 F25:F61 I14:I61 L5:L61">
    <cfRule type="cellIs" dxfId="31" priority="3" stopIfTrue="1" operator="equal">
      <formula>" + "</formula>
    </cfRule>
  </conditionalFormatting>
  <conditionalFormatting sqref="I13">
    <cfRule type="cellIs" dxfId="30" priority="2" stopIfTrue="1" operator="equal">
      <formula>" + "</formula>
    </cfRule>
  </conditionalFormatting>
  <conditionalFormatting sqref="K58">
    <cfRule type="cellIs" dxfId="29" priority="1" stopIfTrue="1" operator="equal">
      <formula>" + 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N62"/>
  <sheetViews>
    <sheetView workbookViewId="0">
      <selection sqref="A1:N1"/>
    </sheetView>
  </sheetViews>
  <sheetFormatPr baseColWidth="10" defaultColWidth="9.140625" defaultRowHeight="12.75" x14ac:dyDescent="0.2"/>
  <cols>
    <col min="1" max="1" width="7.7109375" bestFit="1" customWidth="1"/>
    <col min="2" max="2" width="9.42578125" bestFit="1" customWidth="1"/>
    <col min="3" max="3" width="19.28515625" bestFit="1" customWidth="1"/>
    <col min="4" max="4" width="6" bestFit="1" customWidth="1"/>
    <col min="5" max="5" width="18.28515625" bestFit="1" customWidth="1"/>
    <col min="6" max="6" width="20.42578125" bestFit="1" customWidth="1"/>
    <col min="7" max="7" width="6" bestFit="1" customWidth="1"/>
    <col min="8" max="8" width="16.140625" bestFit="1" customWidth="1"/>
    <col min="9" max="9" width="23.42578125" bestFit="1" customWidth="1"/>
    <col min="10" max="10" width="6" bestFit="1" customWidth="1"/>
    <col min="11" max="11" width="18.28515625" bestFit="1" customWidth="1"/>
    <col min="12" max="12" width="19.28515625" bestFit="1" customWidth="1"/>
    <col min="13" max="13" width="6" bestFit="1" customWidth="1"/>
    <col min="14" max="14" width="18.28515625" bestFit="1" customWidth="1"/>
  </cols>
  <sheetData>
    <row r="1" spans="1:14" ht="21" thickBot="1" x14ac:dyDescent="0.25">
      <c r="A1" s="536" t="s">
        <v>423</v>
      </c>
      <c r="B1" s="537"/>
      <c r="C1" s="537"/>
      <c r="D1" s="537"/>
      <c r="E1" s="537"/>
      <c r="F1" s="537"/>
      <c r="G1" s="537"/>
      <c r="H1" s="537"/>
      <c r="I1" s="537"/>
      <c r="J1" s="537"/>
      <c r="K1" s="537"/>
      <c r="L1" s="537"/>
      <c r="M1" s="537"/>
      <c r="N1" s="545"/>
    </row>
    <row r="2" spans="1:14" ht="15.75" x14ac:dyDescent="0.2">
      <c r="A2" s="546" t="s">
        <v>109</v>
      </c>
      <c r="B2" s="547"/>
      <c r="C2" s="298" t="s">
        <v>38</v>
      </c>
      <c r="D2" s="299"/>
      <c r="E2" s="300"/>
      <c r="F2" s="550" t="s">
        <v>157</v>
      </c>
      <c r="G2" s="550"/>
      <c r="H2" s="551"/>
      <c r="I2" s="550" t="s">
        <v>158</v>
      </c>
      <c r="J2" s="550"/>
      <c r="K2" s="551"/>
      <c r="L2" s="550" t="s">
        <v>159</v>
      </c>
      <c r="M2" s="550"/>
      <c r="N2" s="552"/>
    </row>
    <row r="3" spans="1:14" x14ac:dyDescent="0.2">
      <c r="A3" s="548"/>
      <c r="B3" s="549"/>
      <c r="C3" s="301" t="s">
        <v>160</v>
      </c>
      <c r="D3" s="302" t="s">
        <v>161</v>
      </c>
      <c r="E3" s="302" t="s">
        <v>162</v>
      </c>
      <c r="F3" s="303" t="s">
        <v>160</v>
      </c>
      <c r="G3" s="304" t="s">
        <v>161</v>
      </c>
      <c r="H3" s="302" t="s">
        <v>162</v>
      </c>
      <c r="I3" s="303" t="s">
        <v>160</v>
      </c>
      <c r="J3" s="304" t="s">
        <v>161</v>
      </c>
      <c r="K3" s="302" t="s">
        <v>162</v>
      </c>
      <c r="L3" s="303" t="s">
        <v>160</v>
      </c>
      <c r="M3" s="304" t="s">
        <v>161</v>
      </c>
      <c r="N3" s="305" t="s">
        <v>162</v>
      </c>
    </row>
    <row r="4" spans="1:14" x14ac:dyDescent="0.2">
      <c r="A4" s="259" t="s">
        <v>251</v>
      </c>
      <c r="B4" s="306" t="s">
        <v>164</v>
      </c>
      <c r="C4" s="280" t="s">
        <v>252</v>
      </c>
      <c r="D4" s="307">
        <v>135</v>
      </c>
      <c r="E4" s="241">
        <v>2012</v>
      </c>
      <c r="F4" s="280" t="s">
        <v>252</v>
      </c>
      <c r="G4" s="240">
        <v>82.5</v>
      </c>
      <c r="H4" s="241">
        <v>2012</v>
      </c>
      <c r="I4" s="280" t="s">
        <v>252</v>
      </c>
      <c r="J4" s="308">
        <v>157.5</v>
      </c>
      <c r="K4" s="241">
        <v>2012</v>
      </c>
      <c r="L4" s="280" t="s">
        <v>252</v>
      </c>
      <c r="M4" s="308">
        <v>375</v>
      </c>
      <c r="N4" s="309">
        <v>2012</v>
      </c>
    </row>
    <row r="5" spans="1:14" ht="13.5" thickBot="1" x14ac:dyDescent="0.25">
      <c r="A5" s="286" t="s">
        <v>251</v>
      </c>
      <c r="B5" s="310" t="s">
        <v>166</v>
      </c>
      <c r="C5" s="248" t="s">
        <v>253</v>
      </c>
      <c r="D5" s="311">
        <v>132.5</v>
      </c>
      <c r="E5" s="247" t="s">
        <v>212</v>
      </c>
      <c r="F5" s="248" t="s">
        <v>253</v>
      </c>
      <c r="G5" s="312">
        <v>102.5</v>
      </c>
      <c r="H5" s="247" t="s">
        <v>212</v>
      </c>
      <c r="I5" s="248" t="s">
        <v>254</v>
      </c>
      <c r="J5" s="312">
        <v>185</v>
      </c>
      <c r="K5" s="247" t="s">
        <v>255</v>
      </c>
      <c r="L5" s="248" t="s">
        <v>253</v>
      </c>
      <c r="M5" s="312">
        <v>410</v>
      </c>
      <c r="N5" s="249" t="s">
        <v>212</v>
      </c>
    </row>
    <row r="6" spans="1:14" ht="13.5" thickTop="1" x14ac:dyDescent="0.2">
      <c r="A6" s="313" t="s">
        <v>256</v>
      </c>
      <c r="B6" s="306" t="s">
        <v>164</v>
      </c>
      <c r="C6" s="269" t="s">
        <v>257</v>
      </c>
      <c r="D6" s="314">
        <v>165</v>
      </c>
      <c r="E6" s="253" t="s">
        <v>212</v>
      </c>
      <c r="F6" s="287" t="s">
        <v>258</v>
      </c>
      <c r="G6" s="264">
        <v>112.5</v>
      </c>
      <c r="H6" s="253">
        <v>2019</v>
      </c>
      <c r="I6" s="287" t="s">
        <v>259</v>
      </c>
      <c r="J6" s="264">
        <v>195</v>
      </c>
      <c r="K6" s="253" t="s">
        <v>187</v>
      </c>
      <c r="L6" s="287" t="s">
        <v>257</v>
      </c>
      <c r="M6" s="264">
        <v>462.5</v>
      </c>
      <c r="N6" s="271" t="s">
        <v>212</v>
      </c>
    </row>
    <row r="7" spans="1:14" x14ac:dyDescent="0.2">
      <c r="A7" s="313" t="s">
        <v>256</v>
      </c>
      <c r="B7" s="260" t="s">
        <v>166</v>
      </c>
      <c r="C7" s="263" t="s">
        <v>260</v>
      </c>
      <c r="D7" s="315">
        <v>190</v>
      </c>
      <c r="E7" s="257" t="s">
        <v>216</v>
      </c>
      <c r="F7" s="263" t="s">
        <v>260</v>
      </c>
      <c r="G7" s="256">
        <v>135</v>
      </c>
      <c r="H7" s="257" t="s">
        <v>216</v>
      </c>
      <c r="I7" s="263" t="s">
        <v>260</v>
      </c>
      <c r="J7" s="256">
        <v>220</v>
      </c>
      <c r="K7" s="257" t="s">
        <v>216</v>
      </c>
      <c r="L7" s="263" t="s">
        <v>260</v>
      </c>
      <c r="M7" s="256">
        <v>545</v>
      </c>
      <c r="N7" s="257" t="s">
        <v>216</v>
      </c>
    </row>
    <row r="8" spans="1:14" x14ac:dyDescent="0.2">
      <c r="A8" s="250" t="s">
        <v>256</v>
      </c>
      <c r="B8" s="260" t="s">
        <v>175</v>
      </c>
      <c r="C8" s="287" t="s">
        <v>261</v>
      </c>
      <c r="D8" s="256">
        <v>215</v>
      </c>
      <c r="E8" s="316" t="s">
        <v>199</v>
      </c>
      <c r="F8" s="287" t="s">
        <v>262</v>
      </c>
      <c r="G8" s="256">
        <v>135</v>
      </c>
      <c r="H8" s="257">
        <v>2015</v>
      </c>
      <c r="I8" s="287" t="s">
        <v>261</v>
      </c>
      <c r="J8" s="256">
        <v>242.5</v>
      </c>
      <c r="K8" s="257" t="s">
        <v>199</v>
      </c>
      <c r="L8" s="287" t="s">
        <v>261</v>
      </c>
      <c r="M8" s="256">
        <v>585</v>
      </c>
      <c r="N8" s="262" t="s">
        <v>199</v>
      </c>
    </row>
    <row r="9" spans="1:14" x14ac:dyDescent="0.2">
      <c r="A9" s="313" t="s">
        <v>256</v>
      </c>
      <c r="B9" s="255" t="s">
        <v>176</v>
      </c>
      <c r="C9" s="287" t="s">
        <v>263</v>
      </c>
      <c r="D9" s="315">
        <v>175</v>
      </c>
      <c r="E9" s="257">
        <v>2018</v>
      </c>
      <c r="F9" s="287" t="s">
        <v>264</v>
      </c>
      <c r="G9" s="261">
        <v>122.5</v>
      </c>
      <c r="H9" s="257">
        <v>2018</v>
      </c>
      <c r="I9" s="287" t="s">
        <v>263</v>
      </c>
      <c r="J9" s="261">
        <v>177.5</v>
      </c>
      <c r="K9" s="257">
        <v>2018</v>
      </c>
      <c r="L9" s="287" t="s">
        <v>263</v>
      </c>
      <c r="M9" s="261">
        <v>460</v>
      </c>
      <c r="N9" s="262">
        <v>2018</v>
      </c>
    </row>
    <row r="10" spans="1:14" x14ac:dyDescent="0.2">
      <c r="A10" s="313" t="s">
        <v>256</v>
      </c>
      <c r="B10" s="260" t="s">
        <v>179</v>
      </c>
      <c r="C10" s="287" t="s">
        <v>265</v>
      </c>
      <c r="D10" s="315">
        <v>162.5</v>
      </c>
      <c r="E10" s="257">
        <v>2015</v>
      </c>
      <c r="F10" s="287" t="s">
        <v>266</v>
      </c>
      <c r="G10" s="256">
        <v>112.5</v>
      </c>
      <c r="H10" s="257" t="s">
        <v>244</v>
      </c>
      <c r="I10" s="287" t="s">
        <v>265</v>
      </c>
      <c r="J10" s="291">
        <v>170.5</v>
      </c>
      <c r="K10" s="257">
        <v>2016</v>
      </c>
      <c r="L10" s="287" t="s">
        <v>265</v>
      </c>
      <c r="M10" s="291">
        <v>417.5</v>
      </c>
      <c r="N10" s="262">
        <v>2015</v>
      </c>
    </row>
    <row r="11" spans="1:14" x14ac:dyDescent="0.2">
      <c r="A11" s="313" t="s">
        <v>256</v>
      </c>
      <c r="B11" s="260" t="s">
        <v>181</v>
      </c>
      <c r="C11" s="287" t="s">
        <v>265</v>
      </c>
      <c r="D11" s="315">
        <v>130</v>
      </c>
      <c r="E11" s="253">
        <v>2019</v>
      </c>
      <c r="F11" s="287" t="s">
        <v>267</v>
      </c>
      <c r="G11" s="264">
        <v>92.5</v>
      </c>
      <c r="H11" s="253" t="s">
        <v>209</v>
      </c>
      <c r="I11" s="287" t="s">
        <v>267</v>
      </c>
      <c r="J11" s="264">
        <v>165</v>
      </c>
      <c r="K11" s="253" t="s">
        <v>209</v>
      </c>
      <c r="L11" s="287" t="s">
        <v>267</v>
      </c>
      <c r="M11" s="291">
        <v>38.5</v>
      </c>
      <c r="N11" s="254" t="s">
        <v>268</v>
      </c>
    </row>
    <row r="12" spans="1:14" ht="13.5" thickBot="1" x14ac:dyDescent="0.25">
      <c r="A12" s="265" t="s">
        <v>256</v>
      </c>
      <c r="B12" s="266" t="s">
        <v>183</v>
      </c>
      <c r="C12" s="248" t="s">
        <v>269</v>
      </c>
      <c r="D12" s="317">
        <v>92.5</v>
      </c>
      <c r="E12" s="247">
        <v>2019</v>
      </c>
      <c r="F12" s="248" t="s">
        <v>270</v>
      </c>
      <c r="G12" s="312">
        <v>65</v>
      </c>
      <c r="H12" s="247" t="s">
        <v>209</v>
      </c>
      <c r="I12" s="248" t="s">
        <v>269</v>
      </c>
      <c r="J12" s="312">
        <v>115</v>
      </c>
      <c r="K12" s="247">
        <v>2019</v>
      </c>
      <c r="L12" s="248" t="s">
        <v>269</v>
      </c>
      <c r="M12" s="312">
        <v>267.5</v>
      </c>
      <c r="N12" s="249">
        <v>2019</v>
      </c>
    </row>
    <row r="13" spans="1:14" ht="13.5" thickTop="1" x14ac:dyDescent="0.2">
      <c r="A13" s="259" t="s">
        <v>271</v>
      </c>
      <c r="B13" s="306" t="s">
        <v>164</v>
      </c>
      <c r="C13" s="287" t="s">
        <v>272</v>
      </c>
      <c r="D13" s="318">
        <v>200</v>
      </c>
      <c r="E13" s="253">
        <v>2018</v>
      </c>
      <c r="F13" s="287" t="s">
        <v>273</v>
      </c>
      <c r="G13" s="264">
        <v>140</v>
      </c>
      <c r="H13" s="319" t="s">
        <v>274</v>
      </c>
      <c r="I13" s="287" t="s">
        <v>275</v>
      </c>
      <c r="J13" s="264">
        <v>233</v>
      </c>
      <c r="K13" s="253" t="s">
        <v>255</v>
      </c>
      <c r="L13" s="320" t="s">
        <v>273</v>
      </c>
      <c r="M13" s="264">
        <v>557.5</v>
      </c>
      <c r="N13" s="319" t="s">
        <v>274</v>
      </c>
    </row>
    <row r="14" spans="1:14" x14ac:dyDescent="0.2">
      <c r="A14" s="259" t="s">
        <v>271</v>
      </c>
      <c r="B14" s="321" t="s">
        <v>166</v>
      </c>
      <c r="C14" s="322" t="s">
        <v>260</v>
      </c>
      <c r="D14" s="323">
        <v>215.5</v>
      </c>
      <c r="E14" s="257" t="s">
        <v>255</v>
      </c>
      <c r="F14" s="322" t="s">
        <v>276</v>
      </c>
      <c r="G14" s="256">
        <v>162.5</v>
      </c>
      <c r="H14" s="324" t="s">
        <v>186</v>
      </c>
      <c r="I14" s="287" t="s">
        <v>277</v>
      </c>
      <c r="J14" s="256">
        <v>238.5</v>
      </c>
      <c r="K14" s="257" t="s">
        <v>255</v>
      </c>
      <c r="L14" s="287" t="s">
        <v>260</v>
      </c>
      <c r="M14" s="256">
        <v>608</v>
      </c>
      <c r="N14" s="262" t="s">
        <v>255</v>
      </c>
    </row>
    <row r="15" spans="1:14" x14ac:dyDescent="0.2">
      <c r="A15" s="250" t="s">
        <v>271</v>
      </c>
      <c r="B15" s="260" t="s">
        <v>175</v>
      </c>
      <c r="C15" s="287" t="s">
        <v>278</v>
      </c>
      <c r="D15" s="323">
        <v>252.5</v>
      </c>
      <c r="E15" s="257" t="s">
        <v>186</v>
      </c>
      <c r="F15" s="287" t="s">
        <v>278</v>
      </c>
      <c r="G15" s="256">
        <v>170</v>
      </c>
      <c r="H15" s="324" t="s">
        <v>187</v>
      </c>
      <c r="I15" s="287" t="s">
        <v>279</v>
      </c>
      <c r="J15" s="261">
        <v>298</v>
      </c>
      <c r="K15" s="257">
        <v>2019</v>
      </c>
      <c r="L15" s="287" t="s">
        <v>278</v>
      </c>
      <c r="M15" s="261">
        <v>700</v>
      </c>
      <c r="N15" s="257" t="s">
        <v>187</v>
      </c>
    </row>
    <row r="16" spans="1:14" x14ac:dyDescent="0.2">
      <c r="A16" s="250" t="s">
        <v>271</v>
      </c>
      <c r="B16" s="260" t="s">
        <v>176</v>
      </c>
      <c r="C16" s="287" t="s">
        <v>279</v>
      </c>
      <c r="D16" s="256">
        <v>220</v>
      </c>
      <c r="E16" s="257">
        <v>2018</v>
      </c>
      <c r="F16" s="263" t="s">
        <v>280</v>
      </c>
      <c r="G16" s="256">
        <v>155</v>
      </c>
      <c r="H16" s="257">
        <v>2018</v>
      </c>
      <c r="I16" s="287" t="s">
        <v>279</v>
      </c>
      <c r="J16" s="256">
        <v>298</v>
      </c>
      <c r="K16" s="257">
        <v>2019</v>
      </c>
      <c r="L16" s="287" t="s">
        <v>279</v>
      </c>
      <c r="M16" s="256">
        <v>655</v>
      </c>
      <c r="N16" s="262">
        <v>2018</v>
      </c>
    </row>
    <row r="17" spans="1:14" x14ac:dyDescent="0.2">
      <c r="A17" s="250" t="s">
        <v>271</v>
      </c>
      <c r="B17" s="260" t="s">
        <v>179</v>
      </c>
      <c r="C17" s="287" t="s">
        <v>281</v>
      </c>
      <c r="D17" s="256">
        <v>195</v>
      </c>
      <c r="E17" s="257" t="s">
        <v>174</v>
      </c>
      <c r="F17" s="263" t="s">
        <v>280</v>
      </c>
      <c r="G17" s="256">
        <v>145</v>
      </c>
      <c r="H17" s="257" t="s">
        <v>193</v>
      </c>
      <c r="I17" s="287" t="s">
        <v>281</v>
      </c>
      <c r="J17" s="256">
        <v>225</v>
      </c>
      <c r="K17" s="257" t="s">
        <v>174</v>
      </c>
      <c r="L17" s="287" t="s">
        <v>281</v>
      </c>
      <c r="M17" s="256">
        <v>532.5</v>
      </c>
      <c r="N17" s="262" t="s">
        <v>174</v>
      </c>
    </row>
    <row r="18" spans="1:14" x14ac:dyDescent="0.2">
      <c r="A18" s="250" t="s">
        <v>271</v>
      </c>
      <c r="B18" s="260" t="s">
        <v>181</v>
      </c>
      <c r="C18" s="287" t="s">
        <v>282</v>
      </c>
      <c r="D18" s="264">
        <v>160</v>
      </c>
      <c r="E18" s="253">
        <v>2018</v>
      </c>
      <c r="F18" s="263" t="s">
        <v>267</v>
      </c>
      <c r="G18" s="264">
        <v>110</v>
      </c>
      <c r="H18" s="253">
        <v>2016</v>
      </c>
      <c r="I18" s="263" t="s">
        <v>283</v>
      </c>
      <c r="J18" s="264">
        <v>190</v>
      </c>
      <c r="K18" s="253">
        <v>2017</v>
      </c>
      <c r="L18" s="263" t="s">
        <v>267</v>
      </c>
      <c r="M18" s="264">
        <v>425</v>
      </c>
      <c r="N18" s="254">
        <v>2018</v>
      </c>
    </row>
    <row r="19" spans="1:14" ht="13.5" thickBot="1" x14ac:dyDescent="0.25">
      <c r="A19" s="281" t="s">
        <v>271</v>
      </c>
      <c r="B19" s="266" t="s">
        <v>183</v>
      </c>
      <c r="C19" s="248" t="s">
        <v>284</v>
      </c>
      <c r="D19" s="325">
        <v>127.5</v>
      </c>
      <c r="E19" s="247">
        <v>2018</v>
      </c>
      <c r="F19" s="248" t="s">
        <v>285</v>
      </c>
      <c r="G19" s="312">
        <v>88</v>
      </c>
      <c r="H19" s="247" t="s">
        <v>244</v>
      </c>
      <c r="I19" s="248" t="s">
        <v>284</v>
      </c>
      <c r="J19" s="312">
        <v>165.5</v>
      </c>
      <c r="K19" s="247">
        <v>2018</v>
      </c>
      <c r="L19" s="248" t="s">
        <v>284</v>
      </c>
      <c r="M19" s="312">
        <v>380.5</v>
      </c>
      <c r="N19" s="249">
        <v>2018</v>
      </c>
    </row>
    <row r="20" spans="1:14" ht="13.5" thickTop="1" x14ac:dyDescent="0.2">
      <c r="A20" s="259" t="s">
        <v>286</v>
      </c>
      <c r="B20" s="306" t="s">
        <v>164</v>
      </c>
      <c r="C20" s="287" t="s">
        <v>272</v>
      </c>
      <c r="D20" s="326">
        <v>216.5</v>
      </c>
      <c r="E20" s="253">
        <v>2018</v>
      </c>
      <c r="F20" s="287" t="s">
        <v>273</v>
      </c>
      <c r="G20" s="264">
        <v>165.5</v>
      </c>
      <c r="H20" s="253" t="s">
        <v>212</v>
      </c>
      <c r="I20" s="287" t="s">
        <v>287</v>
      </c>
      <c r="J20" s="264">
        <v>271</v>
      </c>
      <c r="K20" s="253" t="s">
        <v>212</v>
      </c>
      <c r="L20" s="287" t="s">
        <v>287</v>
      </c>
      <c r="M20" s="264">
        <v>623.5</v>
      </c>
      <c r="N20" s="271" t="s">
        <v>212</v>
      </c>
    </row>
    <row r="21" spans="1:14" x14ac:dyDescent="0.2">
      <c r="A21" s="259" t="s">
        <v>286</v>
      </c>
      <c r="B21" s="327" t="s">
        <v>166</v>
      </c>
      <c r="C21" s="287" t="s">
        <v>288</v>
      </c>
      <c r="D21" s="261">
        <v>258</v>
      </c>
      <c r="E21" s="257" t="s">
        <v>187</v>
      </c>
      <c r="F21" s="287" t="s">
        <v>289</v>
      </c>
      <c r="G21" s="261">
        <v>195</v>
      </c>
      <c r="H21" s="257">
        <v>2016</v>
      </c>
      <c r="I21" s="287" t="s">
        <v>290</v>
      </c>
      <c r="J21" s="261">
        <v>307.5</v>
      </c>
      <c r="K21" s="253" t="s">
        <v>198</v>
      </c>
      <c r="L21" s="287" t="s">
        <v>288</v>
      </c>
      <c r="M21" s="261">
        <v>683</v>
      </c>
      <c r="N21" s="262" t="s">
        <v>187</v>
      </c>
    </row>
    <row r="22" spans="1:14" x14ac:dyDescent="0.2">
      <c r="A22" s="250" t="s">
        <v>286</v>
      </c>
      <c r="B22" s="260" t="s">
        <v>175</v>
      </c>
      <c r="C22" s="287" t="s">
        <v>291</v>
      </c>
      <c r="D22" s="256">
        <v>267.5</v>
      </c>
      <c r="E22" s="257" t="s">
        <v>173</v>
      </c>
      <c r="F22" s="263" t="s">
        <v>292</v>
      </c>
      <c r="G22" s="256">
        <v>210.5</v>
      </c>
      <c r="H22" s="257">
        <v>2015</v>
      </c>
      <c r="I22" s="287" t="s">
        <v>291</v>
      </c>
      <c r="J22" s="256">
        <v>317.5</v>
      </c>
      <c r="K22" s="257" t="s">
        <v>187</v>
      </c>
      <c r="L22" s="287" t="s">
        <v>291</v>
      </c>
      <c r="M22" s="256">
        <v>732.5</v>
      </c>
      <c r="N22" s="262" t="s">
        <v>172</v>
      </c>
    </row>
    <row r="23" spans="1:14" x14ac:dyDescent="0.2">
      <c r="A23" s="250" t="s">
        <v>286</v>
      </c>
      <c r="B23" s="260" t="s">
        <v>176</v>
      </c>
      <c r="C23" s="287" t="s">
        <v>279</v>
      </c>
      <c r="D23" s="256">
        <v>240</v>
      </c>
      <c r="E23" s="257">
        <v>2015</v>
      </c>
      <c r="F23" s="263" t="s">
        <v>293</v>
      </c>
      <c r="G23" s="256">
        <v>150</v>
      </c>
      <c r="H23" s="257">
        <v>2015</v>
      </c>
      <c r="I23" s="287" t="s">
        <v>279</v>
      </c>
      <c r="J23" s="256">
        <v>308.5</v>
      </c>
      <c r="K23" s="262" t="s">
        <v>186</v>
      </c>
      <c r="L23" s="287" t="s">
        <v>279</v>
      </c>
      <c r="M23" s="256">
        <v>695</v>
      </c>
      <c r="N23" s="262">
        <v>2015</v>
      </c>
    </row>
    <row r="24" spans="1:14" x14ac:dyDescent="0.2">
      <c r="A24" s="250" t="s">
        <v>286</v>
      </c>
      <c r="B24" s="255" t="s">
        <v>179</v>
      </c>
      <c r="C24" s="287" t="s">
        <v>294</v>
      </c>
      <c r="D24" s="261">
        <v>225</v>
      </c>
      <c r="E24" s="257">
        <v>2019</v>
      </c>
      <c r="F24" s="263" t="s">
        <v>280</v>
      </c>
      <c r="G24" s="261">
        <v>155</v>
      </c>
      <c r="H24" s="257" t="s">
        <v>209</v>
      </c>
      <c r="I24" s="287" t="s">
        <v>294</v>
      </c>
      <c r="J24" s="261">
        <v>256.5</v>
      </c>
      <c r="K24" s="257">
        <v>2019</v>
      </c>
      <c r="L24" s="287" t="s">
        <v>294</v>
      </c>
      <c r="M24" s="261">
        <v>626.5</v>
      </c>
      <c r="N24" s="262">
        <v>2019</v>
      </c>
    </row>
    <row r="25" spans="1:14" x14ac:dyDescent="0.2">
      <c r="A25" s="250" t="s">
        <v>286</v>
      </c>
      <c r="B25" s="255" t="s">
        <v>181</v>
      </c>
      <c r="C25" s="287" t="s">
        <v>295</v>
      </c>
      <c r="D25" s="252">
        <v>207</v>
      </c>
      <c r="E25" s="253">
        <v>2018</v>
      </c>
      <c r="F25" s="287" t="s">
        <v>295</v>
      </c>
      <c r="G25" s="252">
        <v>133</v>
      </c>
      <c r="H25" s="253">
        <v>2016</v>
      </c>
      <c r="I25" s="287" t="s">
        <v>295</v>
      </c>
      <c r="J25" s="252">
        <v>222.5</v>
      </c>
      <c r="K25" s="253">
        <v>2017</v>
      </c>
      <c r="L25" s="287" t="s">
        <v>295</v>
      </c>
      <c r="M25" s="252">
        <v>555</v>
      </c>
      <c r="N25" s="254">
        <v>2016</v>
      </c>
    </row>
    <row r="26" spans="1:14" ht="13.5" thickBot="1" x14ac:dyDescent="0.25">
      <c r="A26" s="281" t="s">
        <v>286</v>
      </c>
      <c r="B26" s="328" t="s">
        <v>183</v>
      </c>
      <c r="C26" s="248" t="s">
        <v>296</v>
      </c>
      <c r="D26" s="312">
        <v>160</v>
      </c>
      <c r="E26" s="247">
        <v>2019</v>
      </c>
      <c r="F26" s="248" t="s">
        <v>297</v>
      </c>
      <c r="G26" s="312">
        <v>110</v>
      </c>
      <c r="H26" s="247">
        <v>2015</v>
      </c>
      <c r="I26" s="248" t="s">
        <v>296</v>
      </c>
      <c r="J26" s="312">
        <v>200</v>
      </c>
      <c r="K26" s="247">
        <v>2019</v>
      </c>
      <c r="L26" s="248" t="s">
        <v>298</v>
      </c>
      <c r="M26" s="312">
        <v>445</v>
      </c>
      <c r="N26" s="249" t="s">
        <v>268</v>
      </c>
    </row>
    <row r="27" spans="1:14" ht="13.5" thickTop="1" x14ac:dyDescent="0.2">
      <c r="A27" s="237" t="s">
        <v>299</v>
      </c>
      <c r="B27" s="306" t="s">
        <v>164</v>
      </c>
      <c r="C27" s="287" t="s">
        <v>300</v>
      </c>
      <c r="D27" s="264">
        <v>247.5</v>
      </c>
      <c r="E27" s="253">
        <v>2019</v>
      </c>
      <c r="F27" s="287" t="s">
        <v>301</v>
      </c>
      <c r="G27" s="264">
        <v>170.5</v>
      </c>
      <c r="H27" s="253" t="s">
        <v>212</v>
      </c>
      <c r="I27" s="287" t="s">
        <v>301</v>
      </c>
      <c r="J27" s="264">
        <v>285</v>
      </c>
      <c r="K27" s="253" t="s">
        <v>212</v>
      </c>
      <c r="L27" s="287" t="s">
        <v>301</v>
      </c>
      <c r="M27" s="264">
        <v>703</v>
      </c>
      <c r="N27" s="271" t="s">
        <v>212</v>
      </c>
    </row>
    <row r="28" spans="1:14" x14ac:dyDescent="0.2">
      <c r="A28" s="237" t="s">
        <v>299</v>
      </c>
      <c r="B28" s="288" t="s">
        <v>166</v>
      </c>
      <c r="C28" s="287" t="s">
        <v>272</v>
      </c>
      <c r="D28" s="256">
        <v>280</v>
      </c>
      <c r="E28" s="257" t="s">
        <v>198</v>
      </c>
      <c r="F28" s="287" t="s">
        <v>302</v>
      </c>
      <c r="G28" s="256">
        <v>183.5</v>
      </c>
      <c r="H28" s="257" t="s">
        <v>186</v>
      </c>
      <c r="I28" s="287" t="s">
        <v>303</v>
      </c>
      <c r="J28" s="256">
        <v>320.5</v>
      </c>
      <c r="K28" s="257" t="s">
        <v>255</v>
      </c>
      <c r="L28" s="287" t="s">
        <v>304</v>
      </c>
      <c r="M28" s="256">
        <v>760</v>
      </c>
      <c r="N28" s="262" t="s">
        <v>188</v>
      </c>
    </row>
    <row r="29" spans="1:14" x14ac:dyDescent="0.2">
      <c r="A29" s="237" t="s">
        <v>299</v>
      </c>
      <c r="B29" s="260" t="s">
        <v>175</v>
      </c>
      <c r="C29" s="287" t="s">
        <v>272</v>
      </c>
      <c r="D29" s="256">
        <v>280</v>
      </c>
      <c r="E29" s="257" t="s">
        <v>198</v>
      </c>
      <c r="F29" s="287" t="s">
        <v>305</v>
      </c>
      <c r="G29" s="256">
        <v>200</v>
      </c>
      <c r="H29" s="257" t="s">
        <v>306</v>
      </c>
      <c r="I29" s="287" t="s">
        <v>307</v>
      </c>
      <c r="J29" s="256">
        <v>338.5</v>
      </c>
      <c r="K29" s="257" t="s">
        <v>187</v>
      </c>
      <c r="L29" s="287" t="s">
        <v>308</v>
      </c>
      <c r="M29" s="256">
        <v>783</v>
      </c>
      <c r="N29" s="257" t="s">
        <v>187</v>
      </c>
    </row>
    <row r="30" spans="1:14" x14ac:dyDescent="0.2">
      <c r="A30" s="237" t="s">
        <v>299</v>
      </c>
      <c r="B30" s="255" t="s">
        <v>176</v>
      </c>
      <c r="C30" s="287" t="s">
        <v>309</v>
      </c>
      <c r="D30" s="261">
        <v>245.5</v>
      </c>
      <c r="E30" s="257">
        <v>2019</v>
      </c>
      <c r="F30" s="287" t="s">
        <v>310</v>
      </c>
      <c r="G30" s="256">
        <v>181</v>
      </c>
      <c r="H30" s="257" t="s">
        <v>209</v>
      </c>
      <c r="I30" s="287" t="s">
        <v>311</v>
      </c>
      <c r="J30" s="261">
        <v>282.5</v>
      </c>
      <c r="K30" s="257">
        <v>2015</v>
      </c>
      <c r="L30" s="287" t="s">
        <v>312</v>
      </c>
      <c r="M30" s="261">
        <v>680</v>
      </c>
      <c r="N30" s="262">
        <v>2015</v>
      </c>
    </row>
    <row r="31" spans="1:14" x14ac:dyDescent="0.2">
      <c r="A31" s="237" t="s">
        <v>299</v>
      </c>
      <c r="B31" s="260" t="s">
        <v>179</v>
      </c>
      <c r="C31" s="287" t="s">
        <v>294</v>
      </c>
      <c r="D31" s="256">
        <v>235</v>
      </c>
      <c r="E31" s="257">
        <v>2018</v>
      </c>
      <c r="F31" s="287" t="s">
        <v>313</v>
      </c>
      <c r="G31" s="256">
        <v>160</v>
      </c>
      <c r="H31" s="257">
        <v>2017</v>
      </c>
      <c r="I31" s="287" t="s">
        <v>294</v>
      </c>
      <c r="J31" s="329">
        <v>265</v>
      </c>
      <c r="K31" s="257">
        <v>2018</v>
      </c>
      <c r="L31" s="287" t="s">
        <v>294</v>
      </c>
      <c r="M31" s="256">
        <v>650</v>
      </c>
      <c r="N31" s="262">
        <v>2018</v>
      </c>
    </row>
    <row r="32" spans="1:14" x14ac:dyDescent="0.2">
      <c r="A32" s="237" t="s">
        <v>299</v>
      </c>
      <c r="B32" s="260" t="s">
        <v>181</v>
      </c>
      <c r="C32" s="287" t="s">
        <v>314</v>
      </c>
      <c r="D32" s="264">
        <v>185</v>
      </c>
      <c r="E32" s="253">
        <v>2018</v>
      </c>
      <c r="F32" s="287" t="s">
        <v>315</v>
      </c>
      <c r="G32" s="264">
        <v>130</v>
      </c>
      <c r="H32" s="253">
        <v>2019</v>
      </c>
      <c r="I32" s="263" t="s">
        <v>316</v>
      </c>
      <c r="J32" s="264">
        <v>252.5</v>
      </c>
      <c r="K32" s="253">
        <v>2015</v>
      </c>
      <c r="L32" s="263" t="s">
        <v>317</v>
      </c>
      <c r="M32" s="264">
        <v>507.5</v>
      </c>
      <c r="N32" s="254">
        <v>2017</v>
      </c>
    </row>
    <row r="33" spans="1:14" ht="13.5" thickBot="1" x14ac:dyDescent="0.25">
      <c r="A33" s="265" t="s">
        <v>299</v>
      </c>
      <c r="B33" s="266" t="s">
        <v>183</v>
      </c>
      <c r="C33" s="248" t="s">
        <v>318</v>
      </c>
      <c r="D33" s="312">
        <v>171</v>
      </c>
      <c r="E33" s="247" t="s">
        <v>244</v>
      </c>
      <c r="F33" s="248" t="s">
        <v>319</v>
      </c>
      <c r="G33" s="312">
        <v>120</v>
      </c>
      <c r="H33" s="247" t="s">
        <v>209</v>
      </c>
      <c r="I33" s="248" t="s">
        <v>316</v>
      </c>
      <c r="J33" s="312">
        <v>230</v>
      </c>
      <c r="K33" s="247">
        <v>2019</v>
      </c>
      <c r="L33" s="248" t="s">
        <v>318</v>
      </c>
      <c r="M33" s="312">
        <v>476</v>
      </c>
      <c r="N33" s="249" t="s">
        <v>244</v>
      </c>
    </row>
    <row r="34" spans="1:14" ht="13.5" thickTop="1" x14ac:dyDescent="0.2">
      <c r="A34" s="259" t="s">
        <v>320</v>
      </c>
      <c r="B34" s="306" t="s">
        <v>164</v>
      </c>
      <c r="C34" s="287" t="s">
        <v>321</v>
      </c>
      <c r="D34" s="264">
        <v>282</v>
      </c>
      <c r="E34" s="253" t="s">
        <v>198</v>
      </c>
      <c r="F34" s="287" t="s">
        <v>321</v>
      </c>
      <c r="G34" s="264">
        <v>210</v>
      </c>
      <c r="H34" s="257" t="s">
        <v>199</v>
      </c>
      <c r="I34" s="287" t="s">
        <v>321</v>
      </c>
      <c r="J34" s="264">
        <v>310.5</v>
      </c>
      <c r="K34" s="257" t="s">
        <v>199</v>
      </c>
      <c r="L34" s="287" t="s">
        <v>321</v>
      </c>
      <c r="M34" s="264">
        <v>800.5</v>
      </c>
      <c r="N34" s="271" t="s">
        <v>199</v>
      </c>
    </row>
    <row r="35" spans="1:14" x14ac:dyDescent="0.2">
      <c r="A35" s="259" t="s">
        <v>320</v>
      </c>
      <c r="B35" s="321" t="s">
        <v>166</v>
      </c>
      <c r="C35" s="287" t="s">
        <v>300</v>
      </c>
      <c r="D35" s="256">
        <v>300.5</v>
      </c>
      <c r="E35" s="257" t="s">
        <v>174</v>
      </c>
      <c r="F35" s="287" t="s">
        <v>321</v>
      </c>
      <c r="G35" s="264">
        <v>210</v>
      </c>
      <c r="H35" s="257" t="s">
        <v>199</v>
      </c>
      <c r="I35" s="287" t="s">
        <v>300</v>
      </c>
      <c r="J35" s="256">
        <v>325</v>
      </c>
      <c r="K35" s="257" t="s">
        <v>187</v>
      </c>
      <c r="L35" s="287" t="s">
        <v>300</v>
      </c>
      <c r="M35" s="256">
        <v>818</v>
      </c>
      <c r="N35" s="262" t="s">
        <v>174</v>
      </c>
    </row>
    <row r="36" spans="1:14" x14ac:dyDescent="0.2">
      <c r="A36" s="250" t="s">
        <v>320</v>
      </c>
      <c r="B36" s="260" t="s">
        <v>175</v>
      </c>
      <c r="C36" s="287" t="s">
        <v>300</v>
      </c>
      <c r="D36" s="261">
        <v>300.5</v>
      </c>
      <c r="E36" s="253" t="s">
        <v>174</v>
      </c>
      <c r="F36" s="287" t="s">
        <v>322</v>
      </c>
      <c r="G36" s="261">
        <v>203</v>
      </c>
      <c r="H36" s="253" t="s">
        <v>306</v>
      </c>
      <c r="I36" s="287" t="s">
        <v>323</v>
      </c>
      <c r="J36" s="261">
        <v>335</v>
      </c>
      <c r="K36" s="257">
        <v>2016</v>
      </c>
      <c r="L36" s="287" t="s">
        <v>300</v>
      </c>
      <c r="M36" s="256">
        <v>818</v>
      </c>
      <c r="N36" s="262" t="s">
        <v>174</v>
      </c>
    </row>
    <row r="37" spans="1:14" x14ac:dyDescent="0.2">
      <c r="A37" s="250" t="s">
        <v>320</v>
      </c>
      <c r="B37" s="255" t="s">
        <v>176</v>
      </c>
      <c r="C37" s="287" t="s">
        <v>324</v>
      </c>
      <c r="D37" s="256">
        <v>270</v>
      </c>
      <c r="E37" s="253" t="s">
        <v>244</v>
      </c>
      <c r="F37" s="287" t="s">
        <v>325</v>
      </c>
      <c r="G37" s="256">
        <v>182.5</v>
      </c>
      <c r="H37" s="253" t="s">
        <v>209</v>
      </c>
      <c r="I37" s="287" t="s">
        <v>324</v>
      </c>
      <c r="J37" s="256">
        <v>290</v>
      </c>
      <c r="K37" s="257" t="s">
        <v>244</v>
      </c>
      <c r="L37" s="287" t="s">
        <v>324</v>
      </c>
      <c r="M37" s="256">
        <v>720</v>
      </c>
      <c r="N37" s="262" t="s">
        <v>244</v>
      </c>
    </row>
    <row r="38" spans="1:14" x14ac:dyDescent="0.2">
      <c r="A38" s="250" t="s">
        <v>320</v>
      </c>
      <c r="B38" s="260" t="s">
        <v>179</v>
      </c>
      <c r="C38" s="287" t="s">
        <v>326</v>
      </c>
      <c r="D38" s="256">
        <v>233</v>
      </c>
      <c r="E38" s="253">
        <v>2018</v>
      </c>
      <c r="F38" s="287" t="s">
        <v>313</v>
      </c>
      <c r="G38" s="256">
        <v>170.5</v>
      </c>
      <c r="H38" s="253" t="s">
        <v>209</v>
      </c>
      <c r="I38" s="287" t="s">
        <v>327</v>
      </c>
      <c r="J38" s="256">
        <v>265</v>
      </c>
      <c r="K38" s="257" t="s">
        <v>209</v>
      </c>
      <c r="L38" s="287" t="s">
        <v>328</v>
      </c>
      <c r="M38" s="256">
        <v>652.5</v>
      </c>
      <c r="N38" s="262">
        <v>2016</v>
      </c>
    </row>
    <row r="39" spans="1:14" x14ac:dyDescent="0.2">
      <c r="A39" s="250" t="s">
        <v>320</v>
      </c>
      <c r="B39" s="260" t="s">
        <v>181</v>
      </c>
      <c r="C39" s="287" t="s">
        <v>329</v>
      </c>
      <c r="D39" s="264">
        <v>245</v>
      </c>
      <c r="E39" s="253">
        <v>2019</v>
      </c>
      <c r="F39" s="287" t="s">
        <v>330</v>
      </c>
      <c r="G39" s="264">
        <v>150</v>
      </c>
      <c r="H39" s="253">
        <v>2017</v>
      </c>
      <c r="I39" s="287" t="s">
        <v>329</v>
      </c>
      <c r="J39" s="264">
        <v>270</v>
      </c>
      <c r="K39" s="253">
        <v>2018</v>
      </c>
      <c r="L39" s="287" t="s">
        <v>329</v>
      </c>
      <c r="M39" s="264">
        <v>635</v>
      </c>
      <c r="N39" s="254">
        <v>2019</v>
      </c>
    </row>
    <row r="40" spans="1:14" ht="13.5" thickBot="1" x14ac:dyDescent="0.25">
      <c r="A40" s="281" t="s">
        <v>320</v>
      </c>
      <c r="B40" s="266" t="s">
        <v>183</v>
      </c>
      <c r="C40" s="248" t="s">
        <v>331</v>
      </c>
      <c r="D40" s="312">
        <v>192.5</v>
      </c>
      <c r="E40" s="247">
        <v>2017</v>
      </c>
      <c r="F40" s="248" t="s">
        <v>332</v>
      </c>
      <c r="G40" s="312">
        <v>112.5</v>
      </c>
      <c r="H40" s="247">
        <v>2016</v>
      </c>
      <c r="I40" s="248" t="s">
        <v>331</v>
      </c>
      <c r="J40" s="312">
        <v>222.5</v>
      </c>
      <c r="K40" s="247">
        <v>2019</v>
      </c>
      <c r="L40" s="248" t="s">
        <v>331</v>
      </c>
      <c r="M40" s="312">
        <v>517.5</v>
      </c>
      <c r="N40" s="249">
        <v>2019</v>
      </c>
    </row>
    <row r="41" spans="1:14" ht="13.5" thickTop="1" x14ac:dyDescent="0.2">
      <c r="A41" s="259" t="s">
        <v>333</v>
      </c>
      <c r="B41" s="306" t="s">
        <v>164</v>
      </c>
      <c r="C41" s="287" t="s">
        <v>334</v>
      </c>
      <c r="D41" s="264">
        <v>292.5</v>
      </c>
      <c r="E41" s="253">
        <v>2018</v>
      </c>
      <c r="F41" s="287" t="s">
        <v>334</v>
      </c>
      <c r="G41" s="264">
        <v>184.5</v>
      </c>
      <c r="H41" s="253">
        <v>2018</v>
      </c>
      <c r="I41" s="287" t="s">
        <v>334</v>
      </c>
      <c r="J41" s="264">
        <v>324</v>
      </c>
      <c r="K41" s="253">
        <v>2018</v>
      </c>
      <c r="L41" s="287" t="s">
        <v>334</v>
      </c>
      <c r="M41" s="264">
        <v>796</v>
      </c>
      <c r="N41" s="254">
        <v>2018</v>
      </c>
    </row>
    <row r="42" spans="1:14" x14ac:dyDescent="0.2">
      <c r="A42" s="259" t="s">
        <v>333</v>
      </c>
      <c r="B42" s="327" t="s">
        <v>166</v>
      </c>
      <c r="C42" s="287" t="s">
        <v>334</v>
      </c>
      <c r="D42" s="261">
        <v>327.5</v>
      </c>
      <c r="E42" s="257" t="s">
        <v>198</v>
      </c>
      <c r="F42" s="287" t="s">
        <v>334</v>
      </c>
      <c r="G42" s="261">
        <v>210</v>
      </c>
      <c r="H42" s="257" t="s">
        <v>186</v>
      </c>
      <c r="I42" s="287" t="s">
        <v>334</v>
      </c>
      <c r="J42" s="261">
        <v>365</v>
      </c>
      <c r="K42" s="257" t="s">
        <v>216</v>
      </c>
      <c r="L42" s="287" t="s">
        <v>334</v>
      </c>
      <c r="M42" s="261">
        <v>895</v>
      </c>
      <c r="N42" s="257" t="s">
        <v>216</v>
      </c>
    </row>
    <row r="43" spans="1:14" x14ac:dyDescent="0.2">
      <c r="A43" s="250" t="s">
        <v>333</v>
      </c>
      <c r="B43" s="260" t="s">
        <v>175</v>
      </c>
      <c r="C43" s="287" t="s">
        <v>334</v>
      </c>
      <c r="D43" s="261">
        <v>332.5</v>
      </c>
      <c r="E43" s="257" t="s">
        <v>199</v>
      </c>
      <c r="F43" s="287" t="s">
        <v>334</v>
      </c>
      <c r="G43" s="261">
        <v>210</v>
      </c>
      <c r="H43" s="257" t="s">
        <v>186</v>
      </c>
      <c r="I43" s="287" t="s">
        <v>334</v>
      </c>
      <c r="J43" s="261">
        <v>365</v>
      </c>
      <c r="K43" s="257" t="s">
        <v>216</v>
      </c>
      <c r="L43" s="287" t="s">
        <v>334</v>
      </c>
      <c r="M43" s="261">
        <v>895</v>
      </c>
      <c r="N43" s="257" t="s">
        <v>216</v>
      </c>
    </row>
    <row r="44" spans="1:14" x14ac:dyDescent="0.2">
      <c r="A44" s="250" t="s">
        <v>333</v>
      </c>
      <c r="B44" s="260" t="s">
        <v>176</v>
      </c>
      <c r="C44" s="287" t="s">
        <v>335</v>
      </c>
      <c r="D44" s="256">
        <v>255</v>
      </c>
      <c r="E44" s="257">
        <v>2017</v>
      </c>
      <c r="F44" s="263" t="s">
        <v>336</v>
      </c>
      <c r="G44" s="256">
        <v>200</v>
      </c>
      <c r="H44" s="257">
        <v>2017</v>
      </c>
      <c r="I44" s="287" t="s">
        <v>337</v>
      </c>
      <c r="J44" s="256">
        <v>278</v>
      </c>
      <c r="K44" s="257" t="s">
        <v>209</v>
      </c>
      <c r="L44" s="287" t="s">
        <v>338</v>
      </c>
      <c r="M44" s="256">
        <v>680</v>
      </c>
      <c r="N44" s="262">
        <v>2017</v>
      </c>
    </row>
    <row r="45" spans="1:14" x14ac:dyDescent="0.2">
      <c r="A45" s="250" t="s">
        <v>333</v>
      </c>
      <c r="B45" s="255" t="s">
        <v>179</v>
      </c>
      <c r="C45" s="287" t="s">
        <v>339</v>
      </c>
      <c r="D45" s="261">
        <v>262.5</v>
      </c>
      <c r="E45" s="330">
        <v>2017</v>
      </c>
      <c r="F45" s="287" t="s">
        <v>340</v>
      </c>
      <c r="G45" s="252">
        <v>152.5</v>
      </c>
      <c r="H45" s="257">
        <v>2018</v>
      </c>
      <c r="I45" s="287" t="s">
        <v>339</v>
      </c>
      <c r="J45" s="261">
        <v>273</v>
      </c>
      <c r="K45" s="257">
        <v>2017</v>
      </c>
      <c r="L45" s="287" t="s">
        <v>339</v>
      </c>
      <c r="M45" s="261">
        <v>675.5</v>
      </c>
      <c r="N45" s="262">
        <v>2017</v>
      </c>
    </row>
    <row r="46" spans="1:14" x14ac:dyDescent="0.2">
      <c r="A46" s="250" t="s">
        <v>333</v>
      </c>
      <c r="B46" s="306" t="s">
        <v>181</v>
      </c>
      <c r="C46" s="287" t="s">
        <v>341</v>
      </c>
      <c r="D46" s="252">
        <v>217.5</v>
      </c>
      <c r="E46" s="257" t="s">
        <v>244</v>
      </c>
      <c r="F46" s="287" t="s">
        <v>340</v>
      </c>
      <c r="G46" s="252">
        <v>152.5</v>
      </c>
      <c r="H46" s="253">
        <v>2019</v>
      </c>
      <c r="I46" s="287" t="s">
        <v>341</v>
      </c>
      <c r="J46" s="252">
        <v>260.5</v>
      </c>
      <c r="K46" s="253" t="s">
        <v>244</v>
      </c>
      <c r="L46" s="287" t="s">
        <v>341</v>
      </c>
      <c r="M46" s="252">
        <v>595.5</v>
      </c>
      <c r="N46" s="254" t="s">
        <v>244</v>
      </c>
    </row>
    <row r="47" spans="1:14" ht="13.5" thickBot="1" x14ac:dyDescent="0.25">
      <c r="A47" s="281" t="s">
        <v>333</v>
      </c>
      <c r="B47" s="328" t="s">
        <v>183</v>
      </c>
      <c r="C47" s="248" t="s">
        <v>331</v>
      </c>
      <c r="D47" s="312">
        <v>213</v>
      </c>
      <c r="E47" s="331">
        <v>2018</v>
      </c>
      <c r="F47" s="248" t="s">
        <v>342</v>
      </c>
      <c r="G47" s="312">
        <v>120</v>
      </c>
      <c r="H47" s="247">
        <v>2016</v>
      </c>
      <c r="I47" s="248" t="s">
        <v>331</v>
      </c>
      <c r="J47" s="312">
        <v>242.5</v>
      </c>
      <c r="K47" s="247">
        <v>2017</v>
      </c>
      <c r="L47" s="248" t="s">
        <v>331</v>
      </c>
      <c r="M47" s="312">
        <v>563</v>
      </c>
      <c r="N47" s="249">
        <v>2018</v>
      </c>
    </row>
    <row r="48" spans="1:14" ht="13.5" thickTop="1" x14ac:dyDescent="0.2">
      <c r="A48" s="313" t="s">
        <v>343</v>
      </c>
      <c r="B48" s="306" t="s">
        <v>164</v>
      </c>
      <c r="C48" s="287"/>
      <c r="D48" s="264">
        <v>0</v>
      </c>
      <c r="E48" s="253"/>
      <c r="F48" s="287"/>
      <c r="G48" s="264">
        <v>0</v>
      </c>
      <c r="H48" s="253"/>
      <c r="I48" s="287"/>
      <c r="J48" s="264">
        <v>0</v>
      </c>
      <c r="K48" s="253"/>
      <c r="L48" s="287"/>
      <c r="M48" s="264">
        <v>0</v>
      </c>
      <c r="N48" s="254"/>
    </row>
    <row r="49" spans="1:14" x14ac:dyDescent="0.2">
      <c r="A49" s="313" t="s">
        <v>343</v>
      </c>
      <c r="B49" s="321" t="s">
        <v>166</v>
      </c>
      <c r="C49" s="287" t="s">
        <v>334</v>
      </c>
      <c r="D49" s="256">
        <v>330</v>
      </c>
      <c r="E49" s="257">
        <v>2019</v>
      </c>
      <c r="F49" s="287" t="s">
        <v>344</v>
      </c>
      <c r="G49" s="256">
        <v>215</v>
      </c>
      <c r="H49" s="257" t="s">
        <v>198</v>
      </c>
      <c r="I49" s="287" t="s">
        <v>344</v>
      </c>
      <c r="J49" s="256">
        <v>355</v>
      </c>
      <c r="K49" s="257" t="s">
        <v>199</v>
      </c>
      <c r="L49" s="287" t="s">
        <v>344</v>
      </c>
      <c r="M49" s="256">
        <v>895</v>
      </c>
      <c r="N49" s="262" t="s">
        <v>199</v>
      </c>
    </row>
    <row r="50" spans="1:14" x14ac:dyDescent="0.2">
      <c r="A50" s="237" t="s">
        <v>343</v>
      </c>
      <c r="B50" s="260" t="s">
        <v>175</v>
      </c>
      <c r="C50" s="287" t="s">
        <v>334</v>
      </c>
      <c r="D50" s="256">
        <v>330</v>
      </c>
      <c r="E50" s="257">
        <v>2019</v>
      </c>
      <c r="F50" s="287" t="s">
        <v>344</v>
      </c>
      <c r="G50" s="256">
        <v>215</v>
      </c>
      <c r="H50" s="257" t="s">
        <v>199</v>
      </c>
      <c r="I50" s="287" t="s">
        <v>344</v>
      </c>
      <c r="J50" s="256">
        <v>355</v>
      </c>
      <c r="K50" s="257" t="s">
        <v>199</v>
      </c>
      <c r="L50" s="287" t="s">
        <v>344</v>
      </c>
      <c r="M50" s="256">
        <v>895</v>
      </c>
      <c r="N50" s="262" t="s">
        <v>199</v>
      </c>
    </row>
    <row r="51" spans="1:14" x14ac:dyDescent="0.2">
      <c r="A51" s="237" t="s">
        <v>343</v>
      </c>
      <c r="B51" s="255" t="s">
        <v>176</v>
      </c>
      <c r="C51" s="287" t="s">
        <v>345</v>
      </c>
      <c r="D51" s="261">
        <v>270</v>
      </c>
      <c r="E51" s="257">
        <v>2016</v>
      </c>
      <c r="F51" s="287" t="s">
        <v>346</v>
      </c>
      <c r="G51" s="256">
        <v>220</v>
      </c>
      <c r="H51" s="257" t="s">
        <v>209</v>
      </c>
      <c r="I51" s="287" t="s">
        <v>347</v>
      </c>
      <c r="J51" s="261">
        <v>297.5</v>
      </c>
      <c r="K51" s="257" t="s">
        <v>209</v>
      </c>
      <c r="L51" s="287" t="s">
        <v>345</v>
      </c>
      <c r="M51" s="261">
        <v>727.5</v>
      </c>
      <c r="N51" s="262">
        <v>2016</v>
      </c>
    </row>
    <row r="52" spans="1:14" x14ac:dyDescent="0.2">
      <c r="A52" s="237" t="s">
        <v>343</v>
      </c>
      <c r="B52" s="260" t="s">
        <v>179</v>
      </c>
      <c r="C52" s="287" t="s">
        <v>348</v>
      </c>
      <c r="D52" s="256">
        <v>255</v>
      </c>
      <c r="E52" s="257">
        <v>2018</v>
      </c>
      <c r="F52" s="287" t="s">
        <v>349</v>
      </c>
      <c r="G52" s="256">
        <v>195</v>
      </c>
      <c r="H52" s="257">
        <v>2016</v>
      </c>
      <c r="I52" s="287" t="s">
        <v>348</v>
      </c>
      <c r="J52" s="256">
        <v>280</v>
      </c>
      <c r="K52" s="257">
        <v>2018</v>
      </c>
      <c r="L52" s="287" t="s">
        <v>348</v>
      </c>
      <c r="M52" s="256">
        <v>700</v>
      </c>
      <c r="N52" s="262">
        <v>2018</v>
      </c>
    </row>
    <row r="53" spans="1:14" x14ac:dyDescent="0.2">
      <c r="A53" s="237" t="s">
        <v>343</v>
      </c>
      <c r="B53" s="260" t="s">
        <v>181</v>
      </c>
      <c r="C53" s="287" t="s">
        <v>339</v>
      </c>
      <c r="D53" s="264">
        <v>232.5</v>
      </c>
      <c r="E53" s="253" t="s">
        <v>209</v>
      </c>
      <c r="F53" s="287" t="s">
        <v>350</v>
      </c>
      <c r="G53" s="264">
        <v>160</v>
      </c>
      <c r="H53" s="253" t="s">
        <v>244</v>
      </c>
      <c r="I53" s="287" t="s">
        <v>351</v>
      </c>
      <c r="J53" s="264">
        <v>235</v>
      </c>
      <c r="K53" s="253">
        <v>2015</v>
      </c>
      <c r="L53" s="287" t="s">
        <v>350</v>
      </c>
      <c r="M53" s="264">
        <v>605</v>
      </c>
      <c r="N53" s="254" t="s">
        <v>244</v>
      </c>
    </row>
    <row r="54" spans="1:14" ht="13.5" thickBot="1" x14ac:dyDescent="0.25">
      <c r="A54" s="265" t="s">
        <v>343</v>
      </c>
      <c r="B54" s="266" t="s">
        <v>183</v>
      </c>
      <c r="C54" s="332" t="s">
        <v>352</v>
      </c>
      <c r="D54" s="312">
        <v>201</v>
      </c>
      <c r="E54" s="247" t="s">
        <v>193</v>
      </c>
      <c r="F54" s="332" t="s">
        <v>352</v>
      </c>
      <c r="G54" s="312">
        <v>105</v>
      </c>
      <c r="H54" s="247" t="s">
        <v>193</v>
      </c>
      <c r="I54" s="332" t="s">
        <v>352</v>
      </c>
      <c r="J54" s="312">
        <v>200</v>
      </c>
      <c r="K54" s="247" t="s">
        <v>193</v>
      </c>
      <c r="L54" s="332" t="s">
        <v>352</v>
      </c>
      <c r="M54" s="312">
        <v>506</v>
      </c>
      <c r="N54" s="249" t="s">
        <v>193</v>
      </c>
    </row>
    <row r="55" spans="1:14" ht="13.5" thickTop="1" x14ac:dyDescent="0.2">
      <c r="A55" s="259" t="s">
        <v>353</v>
      </c>
      <c r="B55" s="306" t="s">
        <v>164</v>
      </c>
      <c r="C55" s="287" t="s">
        <v>354</v>
      </c>
      <c r="D55" s="264">
        <v>235</v>
      </c>
      <c r="E55" s="253">
        <v>2018</v>
      </c>
      <c r="F55" s="287" t="s">
        <v>354</v>
      </c>
      <c r="G55" s="264">
        <v>155</v>
      </c>
      <c r="H55" s="253">
        <v>2018</v>
      </c>
      <c r="I55" s="287" t="s">
        <v>354</v>
      </c>
      <c r="J55" s="264">
        <v>250</v>
      </c>
      <c r="K55" s="253">
        <v>2018</v>
      </c>
      <c r="L55" s="287" t="s">
        <v>354</v>
      </c>
      <c r="M55" s="264">
        <v>635</v>
      </c>
      <c r="N55" s="254">
        <v>2018</v>
      </c>
    </row>
    <row r="56" spans="1:14" x14ac:dyDescent="0.2">
      <c r="A56" s="259" t="s">
        <v>353</v>
      </c>
      <c r="B56" s="327" t="s">
        <v>166</v>
      </c>
      <c r="C56" s="287" t="s">
        <v>334</v>
      </c>
      <c r="D56" s="261">
        <v>335</v>
      </c>
      <c r="E56" s="257" t="s">
        <v>355</v>
      </c>
      <c r="F56" s="287" t="s">
        <v>334</v>
      </c>
      <c r="G56" s="261">
        <v>210</v>
      </c>
      <c r="H56" s="257" t="s">
        <v>355</v>
      </c>
      <c r="I56" s="287" t="s">
        <v>334</v>
      </c>
      <c r="J56" s="261">
        <v>325</v>
      </c>
      <c r="K56" s="257" t="s">
        <v>355</v>
      </c>
      <c r="L56" s="287" t="s">
        <v>334</v>
      </c>
      <c r="M56" s="261">
        <v>870</v>
      </c>
      <c r="N56" s="262" t="s">
        <v>355</v>
      </c>
    </row>
    <row r="57" spans="1:14" x14ac:dyDescent="0.2">
      <c r="A57" s="250" t="s">
        <v>353</v>
      </c>
      <c r="B57" s="260" t="s">
        <v>175</v>
      </c>
      <c r="C57" s="287" t="s">
        <v>356</v>
      </c>
      <c r="D57" s="256">
        <v>350</v>
      </c>
      <c r="E57" s="257" t="s">
        <v>186</v>
      </c>
      <c r="F57" s="263" t="s">
        <v>356</v>
      </c>
      <c r="G57" s="261">
        <v>257.5</v>
      </c>
      <c r="H57" s="257" t="s">
        <v>186</v>
      </c>
      <c r="I57" s="263" t="s">
        <v>357</v>
      </c>
      <c r="J57" s="256">
        <v>372.5</v>
      </c>
      <c r="K57" s="257" t="s">
        <v>174</v>
      </c>
      <c r="L57" s="287" t="s">
        <v>356</v>
      </c>
      <c r="M57" s="256">
        <v>905</v>
      </c>
      <c r="N57" s="257" t="s">
        <v>216</v>
      </c>
    </row>
    <row r="58" spans="1:14" x14ac:dyDescent="0.2">
      <c r="A58" s="250" t="s">
        <v>353</v>
      </c>
      <c r="B58" s="255" t="s">
        <v>176</v>
      </c>
      <c r="C58" s="263" t="s">
        <v>358</v>
      </c>
      <c r="D58" s="261">
        <v>275</v>
      </c>
      <c r="E58" s="257">
        <v>2018</v>
      </c>
      <c r="F58" s="263" t="s">
        <v>358</v>
      </c>
      <c r="G58" s="261">
        <v>210</v>
      </c>
      <c r="H58" s="257">
        <v>2018</v>
      </c>
      <c r="I58" s="263" t="s">
        <v>358</v>
      </c>
      <c r="J58" s="261">
        <v>278</v>
      </c>
      <c r="K58" s="257">
        <v>2018</v>
      </c>
      <c r="L58" s="263" t="s">
        <v>358</v>
      </c>
      <c r="M58" s="261">
        <v>755</v>
      </c>
      <c r="N58" s="333">
        <v>2018</v>
      </c>
    </row>
    <row r="59" spans="1:14" x14ac:dyDescent="0.2">
      <c r="A59" s="290" t="s">
        <v>353</v>
      </c>
      <c r="B59" s="255" t="s">
        <v>179</v>
      </c>
      <c r="C59" s="287" t="s">
        <v>359</v>
      </c>
      <c r="D59" s="291">
        <v>225</v>
      </c>
      <c r="E59" s="257">
        <v>2019</v>
      </c>
      <c r="F59" s="287" t="s">
        <v>359</v>
      </c>
      <c r="G59" s="261">
        <v>180</v>
      </c>
      <c r="H59" s="257">
        <v>2018</v>
      </c>
      <c r="I59" s="287" t="s">
        <v>359</v>
      </c>
      <c r="J59" s="291">
        <v>292.5</v>
      </c>
      <c r="K59" s="257">
        <v>2018</v>
      </c>
      <c r="L59" s="287" t="s">
        <v>359</v>
      </c>
      <c r="M59" s="291">
        <v>687.5</v>
      </c>
      <c r="N59" s="262">
        <v>2018</v>
      </c>
    </row>
    <row r="60" spans="1:14" x14ac:dyDescent="0.2">
      <c r="A60" s="290" t="s">
        <v>353</v>
      </c>
      <c r="B60" s="255" t="s">
        <v>181</v>
      </c>
      <c r="C60" s="287"/>
      <c r="D60" s="334">
        <v>0</v>
      </c>
      <c r="E60" s="257"/>
      <c r="F60" s="263" t="s">
        <v>360</v>
      </c>
      <c r="G60" s="261">
        <v>125</v>
      </c>
      <c r="H60" s="253">
        <v>2015</v>
      </c>
      <c r="I60" s="263" t="s">
        <v>360</v>
      </c>
      <c r="J60" s="334">
        <v>180</v>
      </c>
      <c r="K60" s="335">
        <v>2015</v>
      </c>
      <c r="L60" s="263"/>
      <c r="M60" s="334">
        <v>0</v>
      </c>
      <c r="N60" s="254"/>
    </row>
    <row r="61" spans="1:14" ht="13.5" thickBot="1" x14ac:dyDescent="0.25">
      <c r="A61" s="336" t="s">
        <v>353</v>
      </c>
      <c r="B61" s="337" t="s">
        <v>183</v>
      </c>
      <c r="C61" s="248"/>
      <c r="D61" s="311">
        <v>0</v>
      </c>
      <c r="E61" s="247"/>
      <c r="F61" s="248"/>
      <c r="G61" s="311">
        <v>0</v>
      </c>
      <c r="H61" s="247"/>
      <c r="I61" s="248"/>
      <c r="J61" s="311">
        <v>0</v>
      </c>
      <c r="K61" s="338"/>
      <c r="L61" s="248"/>
      <c r="M61" s="311">
        <v>0</v>
      </c>
      <c r="N61" s="249"/>
    </row>
    <row r="62" spans="1:14" ht="13.5" thickTop="1" x14ac:dyDescent="0.2"/>
  </sheetData>
  <mergeCells count="5">
    <mergeCell ref="A1:N1"/>
    <mergeCell ref="A2:B3"/>
    <mergeCell ref="F2:H2"/>
    <mergeCell ref="I2:K2"/>
    <mergeCell ref="L2:N2"/>
  </mergeCells>
  <conditionalFormatting sqref="C55:C61 F55:F61 I55:I61 L55:L61 L14:L53 I5:I53 L5:L12 F5:F35 C5:C53 F37:F53">
    <cfRule type="cellIs" dxfId="28" priority="18" stopIfTrue="1" operator="equal">
      <formula>" + "</formula>
    </cfRule>
  </conditionalFormatting>
  <conditionalFormatting sqref="F5:F6">
    <cfRule type="cellIs" dxfId="27" priority="19" stopIfTrue="1" operator="equal">
      <formula>0</formula>
    </cfRule>
  </conditionalFormatting>
  <conditionalFormatting sqref="L6">
    <cfRule type="cellIs" dxfId="26" priority="17" stopIfTrue="1" operator="equal">
      <formula>0</formula>
    </cfRule>
  </conditionalFormatting>
  <conditionalFormatting sqref="L6">
    <cfRule type="cellIs" dxfId="25" priority="16" stopIfTrue="1" operator="equal">
      <formula>0</formula>
    </cfRule>
  </conditionalFormatting>
  <conditionalFormatting sqref="C7">
    <cfRule type="cellIs" dxfId="24" priority="15" stopIfTrue="1" operator="equal">
      <formula>0</formula>
    </cfRule>
  </conditionalFormatting>
  <conditionalFormatting sqref="F7">
    <cfRule type="cellIs" dxfId="23" priority="14" stopIfTrue="1" operator="equal">
      <formula>0</formula>
    </cfRule>
  </conditionalFormatting>
  <conditionalFormatting sqref="I7">
    <cfRule type="cellIs" dxfId="22" priority="13" stopIfTrue="1" operator="equal">
      <formula>0</formula>
    </cfRule>
  </conditionalFormatting>
  <conditionalFormatting sqref="L7">
    <cfRule type="cellIs" dxfId="21" priority="12" stopIfTrue="1" operator="equal">
      <formula>0</formula>
    </cfRule>
  </conditionalFormatting>
  <conditionalFormatting sqref="L7">
    <cfRule type="cellIs" dxfId="20" priority="11" stopIfTrue="1" operator="equal">
      <formula>0</formula>
    </cfRule>
  </conditionalFormatting>
  <conditionalFormatting sqref="J31">
    <cfRule type="cellIs" dxfId="19" priority="10" stopIfTrue="1" operator="equal">
      <formula>" + "</formula>
    </cfRule>
  </conditionalFormatting>
  <conditionalFormatting sqref="I5">
    <cfRule type="cellIs" dxfId="18" priority="9" stopIfTrue="1" operator="equal">
      <formula>0</formula>
    </cfRule>
  </conditionalFormatting>
  <conditionalFormatting sqref="L5">
    <cfRule type="cellIs" dxfId="17" priority="8" stopIfTrue="1" operator="equal">
      <formula>0</formula>
    </cfRule>
  </conditionalFormatting>
  <conditionalFormatting sqref="L5">
    <cfRule type="cellIs" dxfId="16" priority="7" stopIfTrue="1" operator="equal">
      <formula>0</formula>
    </cfRule>
  </conditionalFormatting>
  <conditionalFormatting sqref="I7">
    <cfRule type="cellIs" dxfId="15" priority="6" stopIfTrue="1" operator="equal">
      <formula>0</formula>
    </cfRule>
  </conditionalFormatting>
  <conditionalFormatting sqref="F36">
    <cfRule type="cellIs" dxfId="14" priority="5" stopIfTrue="1" operator="equal">
      <formula>" + "</formula>
    </cfRule>
  </conditionalFormatting>
  <conditionalFormatting sqref="F7">
    <cfRule type="cellIs" dxfId="13" priority="4" stopIfTrue="1" operator="equal">
      <formula>0</formula>
    </cfRule>
  </conditionalFormatting>
  <conditionalFormatting sqref="I7">
    <cfRule type="cellIs" dxfId="12" priority="3" stopIfTrue="1" operator="equal">
      <formula>0</formula>
    </cfRule>
  </conditionalFormatting>
  <conditionalFormatting sqref="L7">
    <cfRule type="cellIs" dxfId="11" priority="2" stopIfTrue="1" operator="equal">
      <formula>0</formula>
    </cfRule>
  </conditionalFormatting>
  <conditionalFormatting sqref="L7">
    <cfRule type="cellIs" dxfId="10" priority="1" stopIfTrue="1" operator="equal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N44"/>
  <sheetViews>
    <sheetView workbookViewId="0">
      <selection sqref="A1:N1"/>
    </sheetView>
  </sheetViews>
  <sheetFormatPr baseColWidth="10" defaultColWidth="9.140625" defaultRowHeight="12.75" x14ac:dyDescent="0.2"/>
  <cols>
    <col min="1" max="1" width="6.7109375" bestFit="1" customWidth="1"/>
    <col min="2" max="2" width="8.42578125" bestFit="1" customWidth="1"/>
    <col min="3" max="3" width="17.7109375" bestFit="1" customWidth="1"/>
    <col min="4" max="4" width="6" bestFit="1" customWidth="1"/>
    <col min="5" max="5" width="16.28515625" bestFit="1" customWidth="1"/>
    <col min="6" max="6" width="18.28515625" bestFit="1" customWidth="1"/>
    <col min="7" max="7" width="6" bestFit="1" customWidth="1"/>
    <col min="8" max="8" width="16.28515625" bestFit="1" customWidth="1"/>
    <col min="9" max="9" width="17.7109375" bestFit="1" customWidth="1"/>
    <col min="10" max="10" width="6" bestFit="1" customWidth="1"/>
    <col min="11" max="11" width="16.28515625" bestFit="1" customWidth="1"/>
    <col min="12" max="12" width="17.7109375" bestFit="1" customWidth="1"/>
    <col min="13" max="13" width="6" bestFit="1" customWidth="1"/>
    <col min="14" max="14" width="16.85546875" customWidth="1"/>
  </cols>
  <sheetData>
    <row r="1" spans="1:14" ht="21" thickBot="1" x14ac:dyDescent="0.25">
      <c r="A1" s="536" t="s">
        <v>422</v>
      </c>
      <c r="B1" s="537"/>
      <c r="C1" s="537"/>
      <c r="D1" s="537"/>
      <c r="E1" s="537"/>
      <c r="F1" s="537"/>
      <c r="G1" s="537"/>
      <c r="H1" s="537"/>
      <c r="I1" s="537"/>
      <c r="J1" s="537"/>
      <c r="K1" s="537"/>
      <c r="L1" s="537"/>
      <c r="M1" s="537"/>
      <c r="N1" s="545"/>
    </row>
    <row r="2" spans="1:14" ht="15.75" x14ac:dyDescent="0.25">
      <c r="A2" s="553" t="s">
        <v>109</v>
      </c>
      <c r="B2" s="554"/>
      <c r="C2" s="348" t="s">
        <v>38</v>
      </c>
      <c r="D2" s="349"/>
      <c r="E2" s="350"/>
      <c r="F2" s="557" t="s">
        <v>157</v>
      </c>
      <c r="G2" s="557"/>
      <c r="H2" s="558"/>
      <c r="I2" s="557" t="s">
        <v>158</v>
      </c>
      <c r="J2" s="557"/>
      <c r="K2" s="558"/>
      <c r="L2" s="557" t="s">
        <v>159</v>
      </c>
      <c r="M2" s="557"/>
      <c r="N2" s="559"/>
    </row>
    <row r="3" spans="1:14" x14ac:dyDescent="0.2">
      <c r="A3" s="555"/>
      <c r="B3" s="556"/>
      <c r="C3" s="351" t="s">
        <v>160</v>
      </c>
      <c r="D3" s="352" t="s">
        <v>161</v>
      </c>
      <c r="E3" s="353" t="s">
        <v>162</v>
      </c>
      <c r="F3" s="354" t="s">
        <v>160</v>
      </c>
      <c r="G3" s="352" t="s">
        <v>161</v>
      </c>
      <c r="H3" s="353" t="s">
        <v>162</v>
      </c>
      <c r="I3" s="354" t="s">
        <v>160</v>
      </c>
      <c r="J3" s="352" t="s">
        <v>161</v>
      </c>
      <c r="K3" s="353" t="s">
        <v>162</v>
      </c>
      <c r="L3" s="354" t="s">
        <v>160</v>
      </c>
      <c r="M3" s="352" t="s">
        <v>161</v>
      </c>
      <c r="N3" s="355" t="s">
        <v>162</v>
      </c>
    </row>
    <row r="4" spans="1:14" x14ac:dyDescent="0.2">
      <c r="A4" s="356" t="s">
        <v>169</v>
      </c>
      <c r="B4" s="357" t="s">
        <v>175</v>
      </c>
      <c r="C4" s="358" t="s">
        <v>177</v>
      </c>
      <c r="D4" s="359">
        <v>167.5</v>
      </c>
      <c r="E4" s="345" t="s">
        <v>394</v>
      </c>
      <c r="F4" s="358" t="s">
        <v>403</v>
      </c>
      <c r="G4" s="359">
        <v>97.5</v>
      </c>
      <c r="H4" s="345">
        <v>2013</v>
      </c>
      <c r="I4" s="358" t="s">
        <v>177</v>
      </c>
      <c r="J4" s="359">
        <v>165</v>
      </c>
      <c r="K4" s="345" t="s">
        <v>404</v>
      </c>
      <c r="L4" s="358" t="s">
        <v>177</v>
      </c>
      <c r="M4" s="359">
        <v>427.5</v>
      </c>
      <c r="N4" s="360" t="s">
        <v>405</v>
      </c>
    </row>
    <row r="5" spans="1:14" x14ac:dyDescent="0.2">
      <c r="A5" s="356" t="s">
        <v>169</v>
      </c>
      <c r="B5" s="357" t="s">
        <v>176</v>
      </c>
      <c r="C5" s="358" t="s">
        <v>177</v>
      </c>
      <c r="D5" s="361">
        <v>167.5</v>
      </c>
      <c r="E5" s="345" t="s">
        <v>394</v>
      </c>
      <c r="F5" s="358" t="s">
        <v>177</v>
      </c>
      <c r="G5" s="361">
        <v>97.5</v>
      </c>
      <c r="H5" s="345" t="s">
        <v>394</v>
      </c>
      <c r="I5" s="358" t="s">
        <v>177</v>
      </c>
      <c r="J5" s="359">
        <v>165</v>
      </c>
      <c r="K5" s="345" t="s">
        <v>404</v>
      </c>
      <c r="L5" s="358" t="s">
        <v>177</v>
      </c>
      <c r="M5" s="359">
        <v>427.5</v>
      </c>
      <c r="N5" s="364" t="s">
        <v>405</v>
      </c>
    </row>
    <row r="6" spans="1:14" x14ac:dyDescent="0.2">
      <c r="A6" s="356" t="s">
        <v>169</v>
      </c>
      <c r="B6" s="357" t="s">
        <v>179</v>
      </c>
      <c r="C6" s="358" t="s">
        <v>180</v>
      </c>
      <c r="D6" s="362">
        <v>132.5</v>
      </c>
      <c r="E6" s="363">
        <v>2018</v>
      </c>
      <c r="F6" s="358" t="s">
        <v>180</v>
      </c>
      <c r="G6" s="362">
        <v>90</v>
      </c>
      <c r="H6" s="363">
        <v>2018</v>
      </c>
      <c r="I6" s="358" t="s">
        <v>180</v>
      </c>
      <c r="J6" s="362">
        <v>140</v>
      </c>
      <c r="K6" s="363">
        <v>2018</v>
      </c>
      <c r="L6" s="358" t="s">
        <v>180</v>
      </c>
      <c r="M6" s="362">
        <v>362.5</v>
      </c>
      <c r="N6" s="364">
        <v>2018</v>
      </c>
    </row>
    <row r="7" spans="1:14" x14ac:dyDescent="0.2">
      <c r="A7" s="356" t="s">
        <v>169</v>
      </c>
      <c r="B7" s="357" t="s">
        <v>181</v>
      </c>
      <c r="C7" s="365"/>
      <c r="D7" s="362"/>
      <c r="E7" s="366"/>
      <c r="F7" s="365"/>
      <c r="G7" s="362"/>
      <c r="H7" s="366"/>
      <c r="I7" s="365"/>
      <c r="J7" s="362"/>
      <c r="K7" s="366"/>
      <c r="L7" s="365"/>
      <c r="M7" s="362"/>
      <c r="N7" s="367"/>
    </row>
    <row r="8" spans="1:14" ht="13.5" thickBot="1" x14ac:dyDescent="0.25">
      <c r="A8" s="368" t="s">
        <v>169</v>
      </c>
      <c r="B8" s="369" t="s">
        <v>183</v>
      </c>
      <c r="C8" s="370"/>
      <c r="D8" s="371"/>
      <c r="E8" s="372"/>
      <c r="F8" s="370"/>
      <c r="G8" s="371"/>
      <c r="H8" s="372"/>
      <c r="I8" s="370"/>
      <c r="J8" s="371"/>
      <c r="K8" s="372"/>
      <c r="L8" s="370"/>
      <c r="M8" s="371"/>
      <c r="N8" s="373"/>
    </row>
    <row r="9" spans="1:14" ht="13.5" thickTop="1" x14ac:dyDescent="0.2">
      <c r="A9" s="374" t="s">
        <v>184</v>
      </c>
      <c r="B9" s="357" t="s">
        <v>175</v>
      </c>
      <c r="C9" s="375" t="s">
        <v>406</v>
      </c>
      <c r="D9" s="361">
        <v>175</v>
      </c>
      <c r="E9" s="345">
        <v>2016</v>
      </c>
      <c r="F9" s="358" t="s">
        <v>406</v>
      </c>
      <c r="G9" s="361">
        <v>102.5</v>
      </c>
      <c r="H9" s="345">
        <v>2015</v>
      </c>
      <c r="I9" s="375" t="s">
        <v>406</v>
      </c>
      <c r="J9" s="361">
        <v>165</v>
      </c>
      <c r="K9" s="345">
        <v>2016</v>
      </c>
      <c r="L9" s="358" t="s">
        <v>406</v>
      </c>
      <c r="M9" s="361">
        <v>440</v>
      </c>
      <c r="N9" s="360">
        <v>2016</v>
      </c>
    </row>
    <row r="10" spans="1:14" x14ac:dyDescent="0.2">
      <c r="A10" s="374" t="s">
        <v>184</v>
      </c>
      <c r="B10" s="357" t="s">
        <v>176</v>
      </c>
      <c r="C10" s="375" t="s">
        <v>406</v>
      </c>
      <c r="D10" s="361">
        <v>175</v>
      </c>
      <c r="E10" s="345">
        <v>2016</v>
      </c>
      <c r="F10" s="375" t="s">
        <v>406</v>
      </c>
      <c r="G10" s="361">
        <v>100</v>
      </c>
      <c r="H10" s="345">
        <v>2016</v>
      </c>
      <c r="I10" s="375" t="s">
        <v>406</v>
      </c>
      <c r="J10" s="361">
        <v>165</v>
      </c>
      <c r="K10" s="345">
        <v>2016</v>
      </c>
      <c r="L10" s="375" t="s">
        <v>406</v>
      </c>
      <c r="M10" s="361">
        <v>440</v>
      </c>
      <c r="N10" s="360">
        <v>2016</v>
      </c>
    </row>
    <row r="11" spans="1:14" x14ac:dyDescent="0.2">
      <c r="A11" s="374" t="s">
        <v>184</v>
      </c>
      <c r="B11" s="357" t="s">
        <v>179</v>
      </c>
      <c r="C11" s="358" t="s">
        <v>180</v>
      </c>
      <c r="D11" s="362">
        <v>142.5</v>
      </c>
      <c r="E11" s="363" t="s">
        <v>368</v>
      </c>
      <c r="F11" s="358" t="s">
        <v>180</v>
      </c>
      <c r="G11" s="362">
        <v>98</v>
      </c>
      <c r="H11" s="363" t="s">
        <v>363</v>
      </c>
      <c r="I11" s="358" t="s">
        <v>180</v>
      </c>
      <c r="J11" s="362">
        <v>147.5</v>
      </c>
      <c r="K11" s="363" t="s">
        <v>363</v>
      </c>
      <c r="L11" s="358" t="s">
        <v>180</v>
      </c>
      <c r="M11" s="362">
        <v>383</v>
      </c>
      <c r="N11" s="360" t="s">
        <v>363</v>
      </c>
    </row>
    <row r="12" spans="1:14" x14ac:dyDescent="0.2">
      <c r="A12" s="374" t="s">
        <v>184</v>
      </c>
      <c r="B12" s="357" t="s">
        <v>181</v>
      </c>
      <c r="C12" s="376" t="s">
        <v>407</v>
      </c>
      <c r="D12" s="362">
        <v>95</v>
      </c>
      <c r="E12" s="363">
        <v>2015</v>
      </c>
      <c r="F12" s="376" t="s">
        <v>408</v>
      </c>
      <c r="G12" s="362">
        <v>57.5</v>
      </c>
      <c r="H12" s="363">
        <v>2017</v>
      </c>
      <c r="I12" s="376" t="s">
        <v>407</v>
      </c>
      <c r="J12" s="362">
        <v>105</v>
      </c>
      <c r="K12" s="363">
        <v>2014</v>
      </c>
      <c r="L12" s="376" t="s">
        <v>407</v>
      </c>
      <c r="M12" s="362">
        <v>245</v>
      </c>
      <c r="N12" s="364">
        <v>2015</v>
      </c>
    </row>
    <row r="13" spans="1:14" ht="13.5" thickBot="1" x14ac:dyDescent="0.25">
      <c r="A13" s="368" t="s">
        <v>184</v>
      </c>
      <c r="B13" s="369" t="s">
        <v>183</v>
      </c>
      <c r="C13" s="377" t="s">
        <v>407</v>
      </c>
      <c r="D13" s="371">
        <v>92.5</v>
      </c>
      <c r="E13" s="378">
        <v>2016</v>
      </c>
      <c r="F13" s="377" t="s">
        <v>407</v>
      </c>
      <c r="G13" s="371">
        <v>47.5</v>
      </c>
      <c r="H13" s="378">
        <v>2016</v>
      </c>
      <c r="I13" s="377" t="s">
        <v>407</v>
      </c>
      <c r="J13" s="371">
        <v>100</v>
      </c>
      <c r="K13" s="378">
        <v>2016</v>
      </c>
      <c r="L13" s="377" t="s">
        <v>407</v>
      </c>
      <c r="M13" s="371">
        <v>230</v>
      </c>
      <c r="N13" s="379">
        <v>2016</v>
      </c>
    </row>
    <row r="14" spans="1:14" ht="13.5" thickTop="1" x14ac:dyDescent="0.2">
      <c r="A14" s="374" t="s">
        <v>194</v>
      </c>
      <c r="B14" s="357" t="s">
        <v>175</v>
      </c>
      <c r="C14" s="358" t="s">
        <v>409</v>
      </c>
      <c r="D14" s="361">
        <v>195</v>
      </c>
      <c r="E14" s="345" t="s">
        <v>410</v>
      </c>
      <c r="F14" s="358" t="s">
        <v>200</v>
      </c>
      <c r="G14" s="361">
        <v>137.5</v>
      </c>
      <c r="H14" s="345" t="s">
        <v>411</v>
      </c>
      <c r="I14" s="358" t="s">
        <v>409</v>
      </c>
      <c r="J14" s="361">
        <v>180</v>
      </c>
      <c r="K14" s="345" t="s">
        <v>412</v>
      </c>
      <c r="L14" s="358" t="s">
        <v>200</v>
      </c>
      <c r="M14" s="361">
        <v>487.5</v>
      </c>
      <c r="N14" s="360" t="s">
        <v>411</v>
      </c>
    </row>
    <row r="15" spans="1:14" x14ac:dyDescent="0.2">
      <c r="A15" s="374" t="s">
        <v>194</v>
      </c>
      <c r="B15" s="357" t="s">
        <v>176</v>
      </c>
      <c r="C15" s="358" t="s">
        <v>413</v>
      </c>
      <c r="D15" s="361">
        <v>150</v>
      </c>
      <c r="E15" s="345">
        <v>2012</v>
      </c>
      <c r="F15" s="358" t="s">
        <v>413</v>
      </c>
      <c r="G15" s="361">
        <v>115</v>
      </c>
      <c r="H15" s="345">
        <v>2012</v>
      </c>
      <c r="I15" s="358" t="s">
        <v>414</v>
      </c>
      <c r="J15" s="361">
        <v>158</v>
      </c>
      <c r="K15" s="345">
        <v>2017</v>
      </c>
      <c r="L15" s="358" t="s">
        <v>413</v>
      </c>
      <c r="M15" s="361">
        <v>410</v>
      </c>
      <c r="N15" s="360">
        <v>2012</v>
      </c>
    </row>
    <row r="16" spans="1:14" x14ac:dyDescent="0.2">
      <c r="A16" s="374" t="s">
        <v>194</v>
      </c>
      <c r="B16" s="357" t="s">
        <v>179</v>
      </c>
      <c r="C16" s="365" t="s">
        <v>207</v>
      </c>
      <c r="D16" s="362">
        <v>140</v>
      </c>
      <c r="E16" s="363">
        <v>2018</v>
      </c>
      <c r="F16" s="365" t="s">
        <v>207</v>
      </c>
      <c r="G16" s="362">
        <v>92.5</v>
      </c>
      <c r="H16" s="363">
        <v>2018</v>
      </c>
      <c r="I16" s="365" t="s">
        <v>206</v>
      </c>
      <c r="J16" s="362">
        <v>155</v>
      </c>
      <c r="K16" s="363">
        <v>2014</v>
      </c>
      <c r="L16" s="365" t="s">
        <v>207</v>
      </c>
      <c r="M16" s="362">
        <v>377.5</v>
      </c>
      <c r="N16" s="364">
        <v>2018</v>
      </c>
    </row>
    <row r="17" spans="1:14" x14ac:dyDescent="0.2">
      <c r="A17" s="374" t="s">
        <v>194</v>
      </c>
      <c r="B17" s="357" t="s">
        <v>181</v>
      </c>
      <c r="C17" s="365" t="s">
        <v>208</v>
      </c>
      <c r="D17" s="362">
        <v>115</v>
      </c>
      <c r="E17" s="363" t="s">
        <v>368</v>
      </c>
      <c r="F17" s="365" t="s">
        <v>208</v>
      </c>
      <c r="G17" s="362">
        <v>75</v>
      </c>
      <c r="H17" s="363" t="s">
        <v>368</v>
      </c>
      <c r="I17" s="365" t="s">
        <v>206</v>
      </c>
      <c r="J17" s="362">
        <v>170</v>
      </c>
      <c r="K17" s="363">
        <v>2017</v>
      </c>
      <c r="L17" s="365" t="s">
        <v>206</v>
      </c>
      <c r="M17" s="362">
        <v>337.5</v>
      </c>
      <c r="N17" s="364">
        <v>2016</v>
      </c>
    </row>
    <row r="18" spans="1:14" ht="13.5" thickBot="1" x14ac:dyDescent="0.25">
      <c r="A18" s="368" t="s">
        <v>194</v>
      </c>
      <c r="B18" s="369" t="s">
        <v>183</v>
      </c>
      <c r="C18" s="377" t="s">
        <v>407</v>
      </c>
      <c r="D18" s="371">
        <v>92.5</v>
      </c>
      <c r="E18" s="378" t="s">
        <v>363</v>
      </c>
      <c r="F18" s="377" t="s">
        <v>407</v>
      </c>
      <c r="G18" s="371">
        <v>50</v>
      </c>
      <c r="H18" s="378">
        <v>2017</v>
      </c>
      <c r="I18" s="377" t="s">
        <v>407</v>
      </c>
      <c r="J18" s="371">
        <v>100</v>
      </c>
      <c r="K18" s="378">
        <v>2017</v>
      </c>
      <c r="L18" s="377" t="s">
        <v>407</v>
      </c>
      <c r="M18" s="371">
        <v>242.5</v>
      </c>
      <c r="N18" s="379">
        <v>2017</v>
      </c>
    </row>
    <row r="19" spans="1:14" ht="13.5" thickTop="1" x14ac:dyDescent="0.2">
      <c r="A19" s="374" t="s">
        <v>210</v>
      </c>
      <c r="B19" s="357" t="s">
        <v>175</v>
      </c>
      <c r="C19" s="358" t="s">
        <v>415</v>
      </c>
      <c r="D19" s="361">
        <v>210</v>
      </c>
      <c r="E19" s="345" t="s">
        <v>393</v>
      </c>
      <c r="F19" s="358" t="s">
        <v>200</v>
      </c>
      <c r="G19" s="361">
        <v>147.5</v>
      </c>
      <c r="H19" s="345" t="s">
        <v>404</v>
      </c>
      <c r="I19" s="358" t="s">
        <v>409</v>
      </c>
      <c r="J19" s="361">
        <v>182.5</v>
      </c>
      <c r="K19" s="345" t="s">
        <v>393</v>
      </c>
      <c r="L19" s="358" t="s">
        <v>415</v>
      </c>
      <c r="M19" s="361">
        <v>512.5</v>
      </c>
      <c r="N19" s="345" t="s">
        <v>393</v>
      </c>
    </row>
    <row r="20" spans="1:14" x14ac:dyDescent="0.2">
      <c r="A20" s="374" t="s">
        <v>210</v>
      </c>
      <c r="B20" s="380" t="s">
        <v>176</v>
      </c>
      <c r="C20" s="358" t="s">
        <v>416</v>
      </c>
      <c r="D20" s="361">
        <v>165</v>
      </c>
      <c r="E20" s="345">
        <v>2013</v>
      </c>
      <c r="F20" s="358" t="s">
        <v>217</v>
      </c>
      <c r="G20" s="361">
        <v>120</v>
      </c>
      <c r="H20" s="345">
        <v>2013</v>
      </c>
      <c r="I20" s="358" t="s">
        <v>217</v>
      </c>
      <c r="J20" s="361">
        <v>170</v>
      </c>
      <c r="K20" s="345">
        <v>2013</v>
      </c>
      <c r="L20" s="358" t="s">
        <v>217</v>
      </c>
      <c r="M20" s="361">
        <v>445</v>
      </c>
      <c r="N20" s="360">
        <v>2013</v>
      </c>
    </row>
    <row r="21" spans="1:14" x14ac:dyDescent="0.2">
      <c r="A21" s="374" t="s">
        <v>210</v>
      </c>
      <c r="B21" s="380" t="s">
        <v>179</v>
      </c>
      <c r="C21" s="358" t="s">
        <v>229</v>
      </c>
      <c r="D21" s="361">
        <v>131</v>
      </c>
      <c r="E21" s="345" t="s">
        <v>375</v>
      </c>
      <c r="F21" s="358" t="s">
        <v>207</v>
      </c>
      <c r="G21" s="361">
        <v>95</v>
      </c>
      <c r="H21" s="345" t="s">
        <v>368</v>
      </c>
      <c r="I21" s="358" t="s">
        <v>229</v>
      </c>
      <c r="J21" s="361">
        <v>148</v>
      </c>
      <c r="K21" s="345" t="s">
        <v>375</v>
      </c>
      <c r="L21" s="358" t="s">
        <v>229</v>
      </c>
      <c r="M21" s="361">
        <v>369</v>
      </c>
      <c r="N21" s="360" t="s">
        <v>375</v>
      </c>
    </row>
    <row r="22" spans="1:14" x14ac:dyDescent="0.2">
      <c r="A22" s="374" t="s">
        <v>210</v>
      </c>
      <c r="B22" s="380" t="s">
        <v>181</v>
      </c>
      <c r="C22" s="358" t="s">
        <v>417</v>
      </c>
      <c r="D22" s="361">
        <v>115</v>
      </c>
      <c r="E22" s="345">
        <v>2017</v>
      </c>
      <c r="F22" s="358" t="s">
        <v>417</v>
      </c>
      <c r="G22" s="361">
        <v>65</v>
      </c>
      <c r="H22" s="345">
        <v>2017</v>
      </c>
      <c r="I22" s="358" t="s">
        <v>417</v>
      </c>
      <c r="J22" s="361">
        <v>127.5</v>
      </c>
      <c r="K22" s="345">
        <v>2017</v>
      </c>
      <c r="L22" s="358" t="s">
        <v>417</v>
      </c>
      <c r="M22" s="361">
        <v>307.5</v>
      </c>
      <c r="N22" s="381">
        <v>2017</v>
      </c>
    </row>
    <row r="23" spans="1:14" ht="13.5" thickBot="1" x14ac:dyDescent="0.25">
      <c r="A23" s="368" t="s">
        <v>210</v>
      </c>
      <c r="B23" s="382" t="s">
        <v>183</v>
      </c>
      <c r="C23" s="370"/>
      <c r="D23" s="371"/>
      <c r="E23" s="378"/>
      <c r="F23" s="370"/>
      <c r="G23" s="371"/>
      <c r="H23" s="372"/>
      <c r="I23" s="370"/>
      <c r="J23" s="371"/>
      <c r="K23" s="372"/>
      <c r="L23" s="370"/>
      <c r="M23" s="371"/>
      <c r="N23" s="373"/>
    </row>
    <row r="24" spans="1:14" ht="13.5" thickTop="1" x14ac:dyDescent="0.2">
      <c r="A24" s="374" t="s">
        <v>221</v>
      </c>
      <c r="B24" s="357" t="s">
        <v>175</v>
      </c>
      <c r="C24" s="358"/>
      <c r="D24" s="361"/>
      <c r="E24" s="345"/>
      <c r="F24" s="358"/>
      <c r="G24" s="361"/>
      <c r="H24" s="383"/>
      <c r="I24" s="358"/>
      <c r="J24" s="361"/>
      <c r="K24" s="383"/>
      <c r="L24" s="358"/>
      <c r="M24" s="361"/>
      <c r="N24" s="384"/>
    </row>
    <row r="25" spans="1:14" x14ac:dyDescent="0.2">
      <c r="A25" s="374" t="s">
        <v>221</v>
      </c>
      <c r="B25" s="357" t="s">
        <v>176</v>
      </c>
      <c r="C25" s="358"/>
      <c r="D25" s="361"/>
      <c r="E25" s="345"/>
      <c r="F25" s="358"/>
      <c r="G25" s="361"/>
      <c r="H25" s="383"/>
      <c r="I25" s="358"/>
      <c r="J25" s="361"/>
      <c r="K25" s="383"/>
      <c r="L25" s="358"/>
      <c r="M25" s="361"/>
      <c r="N25" s="384"/>
    </row>
    <row r="26" spans="1:14" x14ac:dyDescent="0.2">
      <c r="A26" s="374" t="s">
        <v>221</v>
      </c>
      <c r="B26" s="357" t="s">
        <v>179</v>
      </c>
      <c r="C26" s="365" t="s">
        <v>227</v>
      </c>
      <c r="D26" s="362">
        <v>147.5</v>
      </c>
      <c r="E26" s="345" t="s">
        <v>418</v>
      </c>
      <c r="F26" s="365" t="s">
        <v>227</v>
      </c>
      <c r="G26" s="362">
        <v>92.5</v>
      </c>
      <c r="H26" s="345" t="s">
        <v>418</v>
      </c>
      <c r="I26" s="365" t="s">
        <v>228</v>
      </c>
      <c r="J26" s="362">
        <v>145</v>
      </c>
      <c r="K26" s="345" t="s">
        <v>391</v>
      </c>
      <c r="L26" s="365" t="s">
        <v>229</v>
      </c>
      <c r="M26" s="362">
        <v>372.5</v>
      </c>
      <c r="N26" s="384" t="s">
        <v>391</v>
      </c>
    </row>
    <row r="27" spans="1:14" x14ac:dyDescent="0.2">
      <c r="A27" s="374" t="s">
        <v>221</v>
      </c>
      <c r="B27" s="357" t="s">
        <v>181</v>
      </c>
      <c r="C27" s="365" t="s">
        <v>220</v>
      </c>
      <c r="D27" s="362">
        <v>107.5</v>
      </c>
      <c r="E27" s="345" t="s">
        <v>410</v>
      </c>
      <c r="F27" s="365" t="s">
        <v>220</v>
      </c>
      <c r="G27" s="362">
        <v>75</v>
      </c>
      <c r="H27" s="345" t="s">
        <v>410</v>
      </c>
      <c r="I27" s="365" t="s">
        <v>220</v>
      </c>
      <c r="J27" s="362">
        <v>135</v>
      </c>
      <c r="K27" s="345" t="s">
        <v>410</v>
      </c>
      <c r="L27" s="365" t="s">
        <v>220</v>
      </c>
      <c r="M27" s="362">
        <v>317.5</v>
      </c>
      <c r="N27" s="384" t="s">
        <v>410</v>
      </c>
    </row>
    <row r="28" spans="1:14" ht="13.5" thickBot="1" x14ac:dyDescent="0.25">
      <c r="A28" s="385" t="s">
        <v>221</v>
      </c>
      <c r="B28" s="369" t="s">
        <v>183</v>
      </c>
      <c r="C28" s="386"/>
      <c r="D28" s="371"/>
      <c r="E28" s="378"/>
      <c r="F28" s="370"/>
      <c r="G28" s="371"/>
      <c r="H28" s="372"/>
      <c r="I28" s="370"/>
      <c r="J28" s="371"/>
      <c r="K28" s="372"/>
      <c r="L28" s="370"/>
      <c r="M28" s="371"/>
      <c r="N28" s="373"/>
    </row>
    <row r="29" spans="1:14" ht="13.5" thickTop="1" x14ac:dyDescent="0.2">
      <c r="A29" s="356" t="s">
        <v>231</v>
      </c>
      <c r="B29" s="357" t="s">
        <v>175</v>
      </c>
      <c r="C29" s="358"/>
      <c r="D29" s="359"/>
      <c r="E29" s="387"/>
      <c r="F29" s="358"/>
      <c r="G29" s="359"/>
      <c r="H29" s="383"/>
      <c r="I29" s="358"/>
      <c r="J29" s="359"/>
      <c r="K29" s="383"/>
      <c r="L29" s="358"/>
      <c r="M29" s="359"/>
      <c r="N29" s="384"/>
    </row>
    <row r="30" spans="1:14" x14ac:dyDescent="0.2">
      <c r="A30" s="356" t="s">
        <v>231</v>
      </c>
      <c r="B30" s="357" t="s">
        <v>176</v>
      </c>
      <c r="C30" s="375"/>
      <c r="D30" s="361"/>
      <c r="E30" s="345"/>
      <c r="F30" s="375"/>
      <c r="G30" s="361"/>
      <c r="H30" s="383"/>
      <c r="I30" s="375"/>
      <c r="J30" s="361"/>
      <c r="K30" s="383"/>
      <c r="L30" s="375"/>
      <c r="M30" s="361"/>
      <c r="N30" s="384"/>
    </row>
    <row r="31" spans="1:14" x14ac:dyDescent="0.2">
      <c r="A31" s="356" t="s">
        <v>231</v>
      </c>
      <c r="B31" s="357" t="s">
        <v>179</v>
      </c>
      <c r="C31" s="376"/>
      <c r="D31" s="362"/>
      <c r="E31" s="366"/>
      <c r="F31" s="375"/>
      <c r="G31" s="362"/>
      <c r="H31" s="366"/>
      <c r="I31" s="376"/>
      <c r="J31" s="362"/>
      <c r="K31" s="366"/>
      <c r="L31" s="376"/>
      <c r="M31" s="362"/>
      <c r="N31" s="367"/>
    </row>
    <row r="32" spans="1:14" x14ac:dyDescent="0.2">
      <c r="A32" s="356" t="s">
        <v>231</v>
      </c>
      <c r="B32" s="357" t="s">
        <v>181</v>
      </c>
      <c r="C32" s="376"/>
      <c r="D32" s="362"/>
      <c r="E32" s="366"/>
      <c r="F32" s="375"/>
      <c r="G32" s="362"/>
      <c r="H32" s="366"/>
      <c r="I32" s="376"/>
      <c r="J32" s="362"/>
      <c r="K32" s="366"/>
      <c r="L32" s="376"/>
      <c r="M32" s="362"/>
      <c r="N32" s="367"/>
    </row>
    <row r="33" spans="1:14" ht="13.5" thickBot="1" x14ac:dyDescent="0.25">
      <c r="A33" s="385" t="s">
        <v>231</v>
      </c>
      <c r="B33" s="369" t="s">
        <v>183</v>
      </c>
      <c r="C33" s="386"/>
      <c r="D33" s="371"/>
      <c r="E33" s="372"/>
      <c r="F33" s="386"/>
      <c r="G33" s="371"/>
      <c r="H33" s="372"/>
      <c r="I33" s="386"/>
      <c r="J33" s="371"/>
      <c r="K33" s="372"/>
      <c r="L33" s="386"/>
      <c r="M33" s="371"/>
      <c r="N33" s="373"/>
    </row>
    <row r="34" spans="1:14" ht="13.5" thickTop="1" x14ac:dyDescent="0.2">
      <c r="A34" s="356" t="s">
        <v>237</v>
      </c>
      <c r="B34" s="357" t="s">
        <v>175</v>
      </c>
      <c r="C34" s="358" t="s">
        <v>419</v>
      </c>
      <c r="D34" s="361">
        <v>180</v>
      </c>
      <c r="E34" s="345">
        <v>2014</v>
      </c>
      <c r="F34" s="358" t="s">
        <v>419</v>
      </c>
      <c r="G34" s="361">
        <v>107.5</v>
      </c>
      <c r="H34" s="345">
        <v>2014</v>
      </c>
      <c r="I34" s="358" t="s">
        <v>419</v>
      </c>
      <c r="J34" s="361">
        <v>170</v>
      </c>
      <c r="K34" s="345">
        <v>2014</v>
      </c>
      <c r="L34" s="358" t="s">
        <v>419</v>
      </c>
      <c r="M34" s="361">
        <v>457.5</v>
      </c>
      <c r="N34" s="360">
        <v>2014</v>
      </c>
    </row>
    <row r="35" spans="1:14" x14ac:dyDescent="0.2">
      <c r="A35" s="356" t="s">
        <v>237</v>
      </c>
      <c r="B35" s="388" t="s">
        <v>176</v>
      </c>
      <c r="C35" s="375" t="s">
        <v>420</v>
      </c>
      <c r="D35" s="362">
        <v>157.5</v>
      </c>
      <c r="E35" s="363">
        <v>2014</v>
      </c>
      <c r="F35" s="375" t="s">
        <v>421</v>
      </c>
      <c r="G35" s="362">
        <v>80</v>
      </c>
      <c r="H35" s="363">
        <v>2018</v>
      </c>
      <c r="I35" s="375" t="s">
        <v>420</v>
      </c>
      <c r="J35" s="362">
        <v>165</v>
      </c>
      <c r="K35" s="363">
        <v>2014</v>
      </c>
      <c r="L35" s="375" t="s">
        <v>420</v>
      </c>
      <c r="M35" s="362">
        <v>402.5</v>
      </c>
      <c r="N35" s="364">
        <v>2014</v>
      </c>
    </row>
    <row r="36" spans="1:14" x14ac:dyDescent="0.2">
      <c r="A36" s="356" t="s">
        <v>237</v>
      </c>
      <c r="B36" s="357" t="s">
        <v>179</v>
      </c>
      <c r="C36" s="375"/>
      <c r="D36" s="361"/>
      <c r="E36" s="383"/>
      <c r="F36" s="375"/>
      <c r="G36" s="361"/>
      <c r="H36" s="383"/>
      <c r="I36" s="375"/>
      <c r="J36" s="361"/>
      <c r="K36" s="383"/>
      <c r="L36" s="375"/>
      <c r="M36" s="361"/>
      <c r="N36" s="384"/>
    </row>
    <row r="37" spans="1:14" x14ac:dyDescent="0.2">
      <c r="A37" s="356" t="s">
        <v>237</v>
      </c>
      <c r="B37" s="388" t="s">
        <v>181</v>
      </c>
      <c r="C37" s="376"/>
      <c r="D37" s="389"/>
      <c r="E37" s="390"/>
      <c r="F37" s="376"/>
      <c r="G37" s="389"/>
      <c r="H37" s="390"/>
      <c r="I37" s="376"/>
      <c r="J37" s="389"/>
      <c r="K37" s="390"/>
      <c r="L37" s="376"/>
      <c r="M37" s="389"/>
      <c r="N37" s="391"/>
    </row>
    <row r="38" spans="1:14" ht="13.5" thickBot="1" x14ac:dyDescent="0.25">
      <c r="A38" s="385" t="s">
        <v>237</v>
      </c>
      <c r="B38" s="369" t="s">
        <v>183</v>
      </c>
      <c r="C38" s="386"/>
      <c r="D38" s="392"/>
      <c r="E38" s="372"/>
      <c r="F38" s="386"/>
      <c r="G38" s="392"/>
      <c r="H38" s="372"/>
      <c r="I38" s="386"/>
      <c r="J38" s="392"/>
      <c r="K38" s="372"/>
      <c r="L38" s="386"/>
      <c r="M38" s="392"/>
      <c r="N38" s="373"/>
    </row>
    <row r="39" spans="1:14" ht="13.5" thickTop="1" x14ac:dyDescent="0.2">
      <c r="A39" s="393" t="s">
        <v>245</v>
      </c>
      <c r="B39" s="394" t="s">
        <v>175</v>
      </c>
      <c r="C39" s="395"/>
      <c r="D39" s="396"/>
      <c r="E39" s="366"/>
      <c r="F39" s="395"/>
      <c r="G39" s="396"/>
      <c r="H39" s="366"/>
      <c r="I39" s="395"/>
      <c r="J39" s="396"/>
      <c r="K39" s="366"/>
      <c r="L39" s="395"/>
      <c r="M39" s="396"/>
      <c r="N39" s="367"/>
    </row>
    <row r="40" spans="1:14" x14ac:dyDescent="0.2">
      <c r="A40" s="393" t="s">
        <v>245</v>
      </c>
      <c r="B40" s="394" t="s">
        <v>176</v>
      </c>
      <c r="C40" s="397"/>
      <c r="D40" s="398"/>
      <c r="E40" s="383"/>
      <c r="F40" s="397"/>
      <c r="G40" s="398"/>
      <c r="H40" s="383"/>
      <c r="I40" s="397"/>
      <c r="J40" s="398"/>
      <c r="K40" s="383"/>
      <c r="L40" s="397"/>
      <c r="M40" s="398"/>
      <c r="N40" s="384"/>
    </row>
    <row r="41" spans="1:14" x14ac:dyDescent="0.2">
      <c r="A41" s="393" t="s">
        <v>245</v>
      </c>
      <c r="B41" s="394" t="s">
        <v>179</v>
      </c>
      <c r="C41" s="397"/>
      <c r="D41" s="399"/>
      <c r="E41" s="390"/>
      <c r="F41" s="397"/>
      <c r="G41" s="398"/>
      <c r="H41" s="383"/>
      <c r="I41" s="397"/>
      <c r="J41" s="398"/>
      <c r="K41" s="383"/>
      <c r="L41" s="397"/>
      <c r="M41" s="398"/>
      <c r="N41" s="384"/>
    </row>
    <row r="42" spans="1:14" x14ac:dyDescent="0.2">
      <c r="A42" s="393" t="s">
        <v>245</v>
      </c>
      <c r="B42" s="394" t="s">
        <v>181</v>
      </c>
      <c r="C42" s="397"/>
      <c r="D42" s="398"/>
      <c r="E42" s="383"/>
      <c r="F42" s="397"/>
      <c r="G42" s="398"/>
      <c r="H42" s="383"/>
      <c r="I42" s="397"/>
      <c r="J42" s="398"/>
      <c r="K42" s="383"/>
      <c r="L42" s="397"/>
      <c r="M42" s="398"/>
      <c r="N42" s="384"/>
    </row>
    <row r="43" spans="1:14" ht="13.5" thickBot="1" x14ac:dyDescent="0.25">
      <c r="A43" s="385" t="s">
        <v>245</v>
      </c>
      <c r="B43" s="369" t="s">
        <v>183</v>
      </c>
      <c r="C43" s="400"/>
      <c r="D43" s="401"/>
      <c r="E43" s="402"/>
      <c r="F43" s="386"/>
      <c r="G43" s="392"/>
      <c r="H43" s="372"/>
      <c r="I43" s="386"/>
      <c r="J43" s="392"/>
      <c r="K43" s="372"/>
      <c r="L43" s="386"/>
      <c r="M43" s="392"/>
      <c r="N43" s="373"/>
    </row>
    <row r="44" spans="1:14" ht="13.5" thickTop="1" x14ac:dyDescent="0.2"/>
  </sheetData>
  <mergeCells count="5">
    <mergeCell ref="A2:B3"/>
    <mergeCell ref="F2:H2"/>
    <mergeCell ref="I2:K2"/>
    <mergeCell ref="L2:N2"/>
    <mergeCell ref="A1:N1"/>
  </mergeCells>
  <conditionalFormatting sqref="C6:C8 F4:F9 I6:I8 L6:L9 C37:C43 F37:F43 I37:I43 L37:L43 C11:C35 F11:F35 I11:I35 L11:L35">
    <cfRule type="cellIs" dxfId="9" priority="9" stopIfTrue="1" operator="equal">
      <formula>" + "</formula>
    </cfRule>
  </conditionalFormatting>
  <conditionalFormatting sqref="C4:C5">
    <cfRule type="cellIs" dxfId="8" priority="8" stopIfTrue="1" operator="equal">
      <formula>" + "</formula>
    </cfRule>
  </conditionalFormatting>
  <conditionalFormatting sqref="C9:C10">
    <cfRule type="cellIs" dxfId="7" priority="7" stopIfTrue="1" operator="equal">
      <formula>" + "</formula>
    </cfRule>
  </conditionalFormatting>
  <conditionalFormatting sqref="C36 L36 F36 I36">
    <cfRule type="cellIs" dxfId="6" priority="6" stopIfTrue="1" operator="equal">
      <formula>" + "</formula>
    </cfRule>
  </conditionalFormatting>
  <conditionalFormatting sqref="F10">
    <cfRule type="cellIs" dxfId="5" priority="5" stopIfTrue="1" operator="equal">
      <formula>" + "</formula>
    </cfRule>
  </conditionalFormatting>
  <conditionalFormatting sqref="I9:I10">
    <cfRule type="cellIs" dxfId="4" priority="4" stopIfTrue="1" operator="equal">
      <formula>" + "</formula>
    </cfRule>
  </conditionalFormatting>
  <conditionalFormatting sqref="L10">
    <cfRule type="cellIs" dxfId="3" priority="3" stopIfTrue="1" operator="equal">
      <formula>" + "</formula>
    </cfRule>
  </conditionalFormatting>
  <conditionalFormatting sqref="I4:I5">
    <cfRule type="cellIs" dxfId="2" priority="2" stopIfTrue="1" operator="equal">
      <formula>" + "</formula>
    </cfRule>
  </conditionalFormatting>
  <conditionalFormatting sqref="L4:L5">
    <cfRule type="cellIs" dxfId="1" priority="1" stopIfTrue="1" operator="equal">
      <formula>" + 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N44"/>
  <sheetViews>
    <sheetView workbookViewId="0">
      <selection sqref="A1:N1"/>
    </sheetView>
  </sheetViews>
  <sheetFormatPr baseColWidth="10" defaultColWidth="9.140625" defaultRowHeight="12.75" x14ac:dyDescent="0.2"/>
  <cols>
    <col min="1" max="1" width="7.7109375" bestFit="1" customWidth="1"/>
    <col min="2" max="2" width="8.42578125" bestFit="1" customWidth="1"/>
    <col min="3" max="3" width="18.42578125" bestFit="1" customWidth="1"/>
    <col min="4" max="4" width="6" bestFit="1" customWidth="1"/>
    <col min="5" max="5" width="16.28515625" bestFit="1" customWidth="1"/>
    <col min="6" max="6" width="19.7109375" bestFit="1" customWidth="1"/>
    <col min="7" max="7" width="6" bestFit="1" customWidth="1"/>
    <col min="8" max="8" width="16.28515625" bestFit="1" customWidth="1"/>
    <col min="9" max="9" width="18.42578125" bestFit="1" customWidth="1"/>
    <col min="10" max="10" width="6" bestFit="1" customWidth="1"/>
    <col min="11" max="11" width="16.28515625" bestFit="1" customWidth="1"/>
    <col min="12" max="12" width="18.42578125" bestFit="1" customWidth="1"/>
    <col min="13" max="13" width="6" bestFit="1" customWidth="1"/>
    <col min="14" max="14" width="16.28515625" bestFit="1" customWidth="1"/>
  </cols>
  <sheetData>
    <row r="1" spans="1:14" ht="21" thickBot="1" x14ac:dyDescent="0.25">
      <c r="A1" s="536" t="s">
        <v>424</v>
      </c>
      <c r="B1" s="537"/>
      <c r="C1" s="537"/>
      <c r="D1" s="537"/>
      <c r="E1" s="537"/>
      <c r="F1" s="537"/>
      <c r="G1" s="537"/>
      <c r="H1" s="537"/>
      <c r="I1" s="537"/>
      <c r="J1" s="537"/>
      <c r="K1" s="537"/>
      <c r="L1" s="537"/>
      <c r="M1" s="537"/>
      <c r="N1" s="545"/>
    </row>
    <row r="2" spans="1:14" ht="15.75" x14ac:dyDescent="0.2">
      <c r="A2" s="546" t="s">
        <v>109</v>
      </c>
      <c r="B2" s="547"/>
      <c r="C2" s="298" t="s">
        <v>38</v>
      </c>
      <c r="D2" s="299"/>
      <c r="E2" s="300"/>
      <c r="F2" s="550" t="s">
        <v>157</v>
      </c>
      <c r="G2" s="550"/>
      <c r="H2" s="551"/>
      <c r="I2" s="550" t="s">
        <v>158</v>
      </c>
      <c r="J2" s="550"/>
      <c r="K2" s="551"/>
      <c r="L2" s="550" t="s">
        <v>159</v>
      </c>
      <c r="M2" s="550"/>
      <c r="N2" s="552"/>
    </row>
    <row r="3" spans="1:14" x14ac:dyDescent="0.2">
      <c r="A3" s="560"/>
      <c r="B3" s="549"/>
      <c r="C3" s="301" t="s">
        <v>160</v>
      </c>
      <c r="D3" s="302" t="s">
        <v>161</v>
      </c>
      <c r="E3" s="302" t="s">
        <v>162</v>
      </c>
      <c r="F3" s="303" t="s">
        <v>160</v>
      </c>
      <c r="G3" s="304" t="s">
        <v>161</v>
      </c>
      <c r="H3" s="302" t="s">
        <v>162</v>
      </c>
      <c r="I3" s="303" t="s">
        <v>160</v>
      </c>
      <c r="J3" s="304" t="s">
        <v>161</v>
      </c>
      <c r="K3" s="302" t="s">
        <v>162</v>
      </c>
      <c r="L3" s="303" t="s">
        <v>160</v>
      </c>
      <c r="M3" s="304" t="s">
        <v>161</v>
      </c>
      <c r="N3" s="305" t="s">
        <v>162</v>
      </c>
    </row>
    <row r="4" spans="1:14" x14ac:dyDescent="0.2">
      <c r="A4" s="250" t="s">
        <v>256</v>
      </c>
      <c r="B4" s="260" t="s">
        <v>175</v>
      </c>
      <c r="C4" s="263" t="s">
        <v>262</v>
      </c>
      <c r="D4" s="256">
        <v>242.5</v>
      </c>
      <c r="E4" s="257">
        <v>2011</v>
      </c>
      <c r="F4" s="273" t="s">
        <v>361</v>
      </c>
      <c r="G4" s="256">
        <v>152.5</v>
      </c>
      <c r="H4" s="257">
        <v>2012</v>
      </c>
      <c r="I4" s="263" t="s">
        <v>262</v>
      </c>
      <c r="J4" s="256">
        <v>247.5</v>
      </c>
      <c r="K4" s="257">
        <v>2012</v>
      </c>
      <c r="L4" s="263" t="s">
        <v>262</v>
      </c>
      <c r="M4" s="256">
        <v>632.5</v>
      </c>
      <c r="N4" s="262">
        <v>2012</v>
      </c>
    </row>
    <row r="5" spans="1:14" x14ac:dyDescent="0.2">
      <c r="A5" s="313" t="s">
        <v>256</v>
      </c>
      <c r="B5" s="255" t="s">
        <v>176</v>
      </c>
      <c r="C5" s="339" t="s">
        <v>362</v>
      </c>
      <c r="D5" s="315">
        <v>140</v>
      </c>
      <c r="E5" s="257" t="s">
        <v>363</v>
      </c>
      <c r="F5" s="276" t="s">
        <v>362</v>
      </c>
      <c r="G5" s="261">
        <v>90</v>
      </c>
      <c r="H5" s="257" t="s">
        <v>363</v>
      </c>
      <c r="I5" s="276" t="s">
        <v>362</v>
      </c>
      <c r="J5" s="261">
        <v>140</v>
      </c>
      <c r="K5" s="257" t="s">
        <v>363</v>
      </c>
      <c r="L5" s="276" t="s">
        <v>362</v>
      </c>
      <c r="M5" s="261">
        <v>370</v>
      </c>
      <c r="N5" s="262" t="s">
        <v>363</v>
      </c>
    </row>
    <row r="6" spans="1:14" x14ac:dyDescent="0.2">
      <c r="A6" s="313" t="s">
        <v>256</v>
      </c>
      <c r="B6" s="260" t="s">
        <v>179</v>
      </c>
      <c r="C6" s="340" t="s">
        <v>265</v>
      </c>
      <c r="D6" s="315">
        <v>205</v>
      </c>
      <c r="E6" s="257">
        <v>2013</v>
      </c>
      <c r="F6" s="263"/>
      <c r="G6" s="256"/>
      <c r="H6" s="293"/>
      <c r="I6" s="340" t="s">
        <v>265</v>
      </c>
      <c r="J6" s="291">
        <v>182.5</v>
      </c>
      <c r="K6" s="257">
        <v>2013</v>
      </c>
      <c r="L6" s="340" t="s">
        <v>265</v>
      </c>
      <c r="M6" s="291">
        <v>470</v>
      </c>
      <c r="N6" s="262">
        <v>2013</v>
      </c>
    </row>
    <row r="7" spans="1:14" x14ac:dyDescent="0.2">
      <c r="A7" s="313" t="s">
        <v>256</v>
      </c>
      <c r="B7" s="260" t="s">
        <v>181</v>
      </c>
      <c r="C7" s="263" t="s">
        <v>364</v>
      </c>
      <c r="D7" s="315">
        <v>145</v>
      </c>
      <c r="E7" s="253">
        <v>2013</v>
      </c>
      <c r="F7" s="263"/>
      <c r="G7" s="264"/>
      <c r="H7" s="274"/>
      <c r="I7" s="263" t="s">
        <v>364</v>
      </c>
      <c r="J7" s="264">
        <v>180</v>
      </c>
      <c r="K7" s="253">
        <v>2012</v>
      </c>
      <c r="L7" s="341"/>
      <c r="M7" s="291"/>
      <c r="N7" s="285"/>
    </row>
    <row r="8" spans="1:14" ht="13.5" thickBot="1" x14ac:dyDescent="0.25">
      <c r="A8" s="265" t="s">
        <v>256</v>
      </c>
      <c r="B8" s="266" t="s">
        <v>183</v>
      </c>
      <c r="C8" s="248" t="s">
        <v>364</v>
      </c>
      <c r="D8" s="317">
        <v>135.5</v>
      </c>
      <c r="E8" s="247">
        <v>2016</v>
      </c>
      <c r="F8" s="248"/>
      <c r="G8" s="312"/>
      <c r="H8" s="267"/>
      <c r="I8" s="248" t="s">
        <v>364</v>
      </c>
      <c r="J8" s="312">
        <v>171.5</v>
      </c>
      <c r="K8" s="247">
        <v>2016</v>
      </c>
      <c r="L8" s="248" t="s">
        <v>364</v>
      </c>
      <c r="M8" s="312">
        <v>353.5</v>
      </c>
      <c r="N8" s="249">
        <v>2014</v>
      </c>
    </row>
    <row r="9" spans="1:14" ht="13.5" thickTop="1" x14ac:dyDescent="0.2">
      <c r="A9" s="250" t="s">
        <v>271</v>
      </c>
      <c r="B9" s="260" t="s">
        <v>175</v>
      </c>
      <c r="C9" s="263" t="s">
        <v>279</v>
      </c>
      <c r="D9" s="342">
        <v>295</v>
      </c>
      <c r="E9" s="257">
        <v>2012</v>
      </c>
      <c r="F9" s="263" t="s">
        <v>280</v>
      </c>
      <c r="G9" s="256">
        <v>195</v>
      </c>
      <c r="H9" s="257" t="s">
        <v>365</v>
      </c>
      <c r="I9" s="343" t="s">
        <v>279</v>
      </c>
      <c r="J9" s="261">
        <v>318.5</v>
      </c>
      <c r="K9" s="257" t="s">
        <v>366</v>
      </c>
      <c r="L9" s="343" t="s">
        <v>279</v>
      </c>
      <c r="M9" s="261">
        <v>783.5</v>
      </c>
      <c r="N9" s="262" t="s">
        <v>367</v>
      </c>
    </row>
    <row r="10" spans="1:14" x14ac:dyDescent="0.2">
      <c r="A10" s="250" t="s">
        <v>271</v>
      </c>
      <c r="B10" s="260" t="s">
        <v>176</v>
      </c>
      <c r="C10" s="263" t="s">
        <v>279</v>
      </c>
      <c r="D10" s="256">
        <v>295</v>
      </c>
      <c r="E10" s="257">
        <v>2019</v>
      </c>
      <c r="F10" s="263" t="s">
        <v>280</v>
      </c>
      <c r="G10" s="256">
        <v>195</v>
      </c>
      <c r="H10" s="257" t="s">
        <v>363</v>
      </c>
      <c r="I10" s="263" t="s">
        <v>279</v>
      </c>
      <c r="J10" s="256">
        <v>318.5</v>
      </c>
      <c r="K10" s="257" t="s">
        <v>366</v>
      </c>
      <c r="L10" s="263" t="s">
        <v>279</v>
      </c>
      <c r="M10" s="256">
        <v>783.5</v>
      </c>
      <c r="N10" s="262" t="s">
        <v>367</v>
      </c>
    </row>
    <row r="11" spans="1:14" x14ac:dyDescent="0.2">
      <c r="A11" s="250" t="s">
        <v>271</v>
      </c>
      <c r="B11" s="260" t="s">
        <v>179</v>
      </c>
      <c r="C11" s="263" t="s">
        <v>280</v>
      </c>
      <c r="D11" s="256">
        <v>217.5</v>
      </c>
      <c r="E11" s="257" t="s">
        <v>368</v>
      </c>
      <c r="F11" s="263" t="s">
        <v>280</v>
      </c>
      <c r="G11" s="256">
        <v>190</v>
      </c>
      <c r="H11" s="257" t="s">
        <v>368</v>
      </c>
      <c r="I11" s="263" t="s">
        <v>281</v>
      </c>
      <c r="J11" s="256">
        <v>235</v>
      </c>
      <c r="K11" s="257" t="s">
        <v>369</v>
      </c>
      <c r="L11" s="263" t="s">
        <v>280</v>
      </c>
      <c r="M11" s="256">
        <v>602.5</v>
      </c>
      <c r="N11" s="262" t="s">
        <v>368</v>
      </c>
    </row>
    <row r="12" spans="1:14" x14ac:dyDescent="0.2">
      <c r="A12" s="250" t="s">
        <v>271</v>
      </c>
      <c r="B12" s="260" t="s">
        <v>181</v>
      </c>
      <c r="C12" s="280" t="s">
        <v>370</v>
      </c>
      <c r="D12" s="264">
        <v>182.5</v>
      </c>
      <c r="E12" s="253">
        <v>2013</v>
      </c>
      <c r="F12" s="280" t="s">
        <v>371</v>
      </c>
      <c r="G12" s="264">
        <v>115.5</v>
      </c>
      <c r="H12" s="253">
        <v>2014</v>
      </c>
      <c r="I12" s="280" t="s">
        <v>370</v>
      </c>
      <c r="J12" s="264">
        <v>210</v>
      </c>
      <c r="K12" s="253">
        <v>2013</v>
      </c>
      <c r="L12" s="280" t="s">
        <v>370</v>
      </c>
      <c r="M12" s="264">
        <v>505</v>
      </c>
      <c r="N12" s="254">
        <v>2013</v>
      </c>
    </row>
    <row r="13" spans="1:14" ht="13.5" thickBot="1" x14ac:dyDescent="0.25">
      <c r="A13" s="281" t="s">
        <v>271</v>
      </c>
      <c r="B13" s="266" t="s">
        <v>183</v>
      </c>
      <c r="C13" s="248"/>
      <c r="D13" s="325"/>
      <c r="E13" s="267"/>
      <c r="F13" s="248"/>
      <c r="G13" s="312"/>
      <c r="H13" s="267"/>
      <c r="I13" s="248" t="s">
        <v>364</v>
      </c>
      <c r="J13" s="312">
        <v>160</v>
      </c>
      <c r="K13" s="247">
        <v>2018</v>
      </c>
      <c r="L13" s="248"/>
      <c r="M13" s="312"/>
      <c r="N13" s="268"/>
    </row>
    <row r="14" spans="1:14" ht="13.5" thickTop="1" x14ac:dyDescent="0.2">
      <c r="A14" s="250" t="s">
        <v>286</v>
      </c>
      <c r="B14" s="260" t="s">
        <v>175</v>
      </c>
      <c r="C14" s="263" t="s">
        <v>279</v>
      </c>
      <c r="D14" s="256">
        <v>320.5</v>
      </c>
      <c r="E14" s="257">
        <v>2013</v>
      </c>
      <c r="F14" s="276" t="s">
        <v>292</v>
      </c>
      <c r="G14" s="256">
        <v>245</v>
      </c>
      <c r="H14" s="257">
        <v>2014</v>
      </c>
      <c r="I14" s="276" t="s">
        <v>372</v>
      </c>
      <c r="J14" s="256">
        <v>325</v>
      </c>
      <c r="K14" s="257">
        <v>2015</v>
      </c>
      <c r="L14" s="276" t="s">
        <v>372</v>
      </c>
      <c r="M14" s="256">
        <v>808</v>
      </c>
      <c r="N14" s="262">
        <v>2013</v>
      </c>
    </row>
    <row r="15" spans="1:14" x14ac:dyDescent="0.2">
      <c r="A15" s="250" t="s">
        <v>286</v>
      </c>
      <c r="B15" s="260" t="s">
        <v>176</v>
      </c>
      <c r="C15" s="263" t="s">
        <v>279</v>
      </c>
      <c r="D15" s="256">
        <v>305</v>
      </c>
      <c r="E15" s="257">
        <v>2016</v>
      </c>
      <c r="F15" s="273" t="s">
        <v>294</v>
      </c>
      <c r="G15" s="256">
        <v>197.5</v>
      </c>
      <c r="H15" s="257">
        <v>2014</v>
      </c>
      <c r="I15" s="276" t="s">
        <v>372</v>
      </c>
      <c r="J15" s="256">
        <v>325</v>
      </c>
      <c r="K15" s="257">
        <v>2015</v>
      </c>
      <c r="L15" s="276" t="s">
        <v>372</v>
      </c>
      <c r="M15" s="256">
        <v>797.5</v>
      </c>
      <c r="N15" s="262">
        <v>2015</v>
      </c>
    </row>
    <row r="16" spans="1:14" x14ac:dyDescent="0.2">
      <c r="A16" s="250" t="s">
        <v>286</v>
      </c>
      <c r="B16" s="255" t="s">
        <v>179</v>
      </c>
      <c r="C16" s="276" t="s">
        <v>373</v>
      </c>
      <c r="D16" s="261">
        <v>240</v>
      </c>
      <c r="E16" s="257">
        <v>2014</v>
      </c>
      <c r="F16" s="263" t="s">
        <v>280</v>
      </c>
      <c r="G16" s="261">
        <v>200</v>
      </c>
      <c r="H16" s="257" t="s">
        <v>178</v>
      </c>
      <c r="I16" s="343" t="s">
        <v>373</v>
      </c>
      <c r="J16" s="261">
        <v>278</v>
      </c>
      <c r="K16" s="257">
        <v>2015</v>
      </c>
      <c r="L16" s="276" t="s">
        <v>373</v>
      </c>
      <c r="M16" s="261">
        <v>645.5</v>
      </c>
      <c r="N16" s="262">
        <v>2014</v>
      </c>
    </row>
    <row r="17" spans="1:14" x14ac:dyDescent="0.2">
      <c r="A17" s="250" t="s">
        <v>286</v>
      </c>
      <c r="B17" s="255" t="s">
        <v>181</v>
      </c>
      <c r="C17" s="251" t="s">
        <v>298</v>
      </c>
      <c r="D17" s="252">
        <v>215</v>
      </c>
      <c r="E17" s="253">
        <v>2016</v>
      </c>
      <c r="F17" s="251" t="s">
        <v>298</v>
      </c>
      <c r="G17" s="252">
        <v>137.5</v>
      </c>
      <c r="H17" s="253">
        <v>2014</v>
      </c>
      <c r="I17" s="344" t="s">
        <v>318</v>
      </c>
      <c r="J17" s="252">
        <v>237.5</v>
      </c>
      <c r="K17" s="253">
        <v>2011</v>
      </c>
      <c r="L17" s="251" t="s">
        <v>298</v>
      </c>
      <c r="M17" s="252">
        <v>552.5</v>
      </c>
      <c r="N17" s="254">
        <v>2015</v>
      </c>
    </row>
    <row r="18" spans="1:14" ht="13.5" thickBot="1" x14ac:dyDescent="0.25">
      <c r="A18" s="281" t="s">
        <v>286</v>
      </c>
      <c r="B18" s="328" t="s">
        <v>183</v>
      </c>
      <c r="C18" s="248" t="s">
        <v>298</v>
      </c>
      <c r="D18" s="312">
        <v>185</v>
      </c>
      <c r="E18" s="247" t="s">
        <v>369</v>
      </c>
      <c r="F18" s="248" t="s">
        <v>298</v>
      </c>
      <c r="G18" s="312">
        <v>117.5</v>
      </c>
      <c r="H18" s="247" t="s">
        <v>369</v>
      </c>
      <c r="I18" s="248" t="s">
        <v>374</v>
      </c>
      <c r="J18" s="312">
        <v>200</v>
      </c>
      <c r="K18" s="247" t="s">
        <v>375</v>
      </c>
      <c r="L18" s="248" t="s">
        <v>298</v>
      </c>
      <c r="M18" s="312">
        <v>482.5</v>
      </c>
      <c r="N18" s="249" t="s">
        <v>369</v>
      </c>
    </row>
    <row r="19" spans="1:14" ht="13.5" thickTop="1" x14ac:dyDescent="0.2">
      <c r="A19" s="237" t="s">
        <v>299</v>
      </c>
      <c r="B19" s="260" t="s">
        <v>175</v>
      </c>
      <c r="C19" s="263" t="s">
        <v>376</v>
      </c>
      <c r="D19" s="256">
        <v>322.5</v>
      </c>
      <c r="E19" s="257">
        <v>2014</v>
      </c>
      <c r="F19" s="263" t="s">
        <v>313</v>
      </c>
      <c r="G19" s="256">
        <v>225</v>
      </c>
      <c r="H19" s="257">
        <v>2018</v>
      </c>
      <c r="I19" s="263" t="s">
        <v>376</v>
      </c>
      <c r="J19" s="256">
        <v>312.5</v>
      </c>
      <c r="K19" s="257">
        <v>2014</v>
      </c>
      <c r="L19" s="263" t="s">
        <v>376</v>
      </c>
      <c r="M19" s="256">
        <v>840</v>
      </c>
      <c r="N19" s="333">
        <v>2014</v>
      </c>
    </row>
    <row r="20" spans="1:14" x14ac:dyDescent="0.2">
      <c r="A20" s="237" t="s">
        <v>299</v>
      </c>
      <c r="B20" s="255" t="s">
        <v>176</v>
      </c>
      <c r="C20" s="263" t="s">
        <v>312</v>
      </c>
      <c r="D20" s="261">
        <v>300</v>
      </c>
      <c r="E20" s="257">
        <v>2013</v>
      </c>
      <c r="F20" s="263" t="s">
        <v>313</v>
      </c>
      <c r="G20" s="256">
        <v>197.5</v>
      </c>
      <c r="H20" s="257">
        <v>2014</v>
      </c>
      <c r="I20" s="263" t="s">
        <v>312</v>
      </c>
      <c r="J20" s="261">
        <v>295</v>
      </c>
      <c r="K20" s="257">
        <v>2014</v>
      </c>
      <c r="L20" s="263" t="s">
        <v>312</v>
      </c>
      <c r="M20" s="261">
        <v>785</v>
      </c>
      <c r="N20" s="262">
        <v>2014</v>
      </c>
    </row>
    <row r="21" spans="1:14" x14ac:dyDescent="0.2">
      <c r="A21" s="237" t="s">
        <v>299</v>
      </c>
      <c r="B21" s="260" t="s">
        <v>179</v>
      </c>
      <c r="C21" s="263" t="s">
        <v>313</v>
      </c>
      <c r="D21" s="256">
        <v>257.5</v>
      </c>
      <c r="E21" s="257">
        <v>2018</v>
      </c>
      <c r="F21" s="263" t="s">
        <v>313</v>
      </c>
      <c r="G21" s="256">
        <v>225</v>
      </c>
      <c r="H21" s="257">
        <v>2018</v>
      </c>
      <c r="I21" s="263" t="s">
        <v>377</v>
      </c>
      <c r="J21" s="256">
        <v>265</v>
      </c>
      <c r="K21" s="257">
        <v>2013</v>
      </c>
      <c r="L21" s="263" t="s">
        <v>313</v>
      </c>
      <c r="M21" s="256">
        <v>688.5</v>
      </c>
      <c r="N21" s="262">
        <v>2018</v>
      </c>
    </row>
    <row r="22" spans="1:14" x14ac:dyDescent="0.2">
      <c r="A22" s="237" t="s">
        <v>299</v>
      </c>
      <c r="B22" s="260" t="s">
        <v>181</v>
      </c>
      <c r="C22" s="280" t="s">
        <v>316</v>
      </c>
      <c r="D22" s="264">
        <v>220</v>
      </c>
      <c r="E22" s="253">
        <v>2013</v>
      </c>
      <c r="F22" s="280" t="s">
        <v>315</v>
      </c>
      <c r="G22" s="264">
        <v>145</v>
      </c>
      <c r="H22" s="253">
        <v>2019</v>
      </c>
      <c r="I22" s="280" t="s">
        <v>316</v>
      </c>
      <c r="J22" s="264">
        <v>260</v>
      </c>
      <c r="K22" s="253">
        <v>2013</v>
      </c>
      <c r="L22" s="280" t="s">
        <v>316</v>
      </c>
      <c r="M22" s="264">
        <v>570</v>
      </c>
      <c r="N22" s="254">
        <v>2013</v>
      </c>
    </row>
    <row r="23" spans="1:14" ht="13.5" thickBot="1" x14ac:dyDescent="0.25">
      <c r="A23" s="265" t="s">
        <v>299</v>
      </c>
      <c r="B23" s="266" t="s">
        <v>183</v>
      </c>
      <c r="C23" s="248" t="s">
        <v>318</v>
      </c>
      <c r="D23" s="312">
        <v>160</v>
      </c>
      <c r="E23" s="247" t="s">
        <v>375</v>
      </c>
      <c r="F23" s="248" t="s">
        <v>374</v>
      </c>
      <c r="G23" s="312">
        <v>105</v>
      </c>
      <c r="H23" s="247" t="s">
        <v>369</v>
      </c>
      <c r="I23" s="248" t="s">
        <v>374</v>
      </c>
      <c r="J23" s="312">
        <v>180</v>
      </c>
      <c r="K23" s="247" t="s">
        <v>369</v>
      </c>
      <c r="L23" s="248" t="s">
        <v>374</v>
      </c>
      <c r="M23" s="312">
        <v>420</v>
      </c>
      <c r="N23" s="249" t="s">
        <v>369</v>
      </c>
    </row>
    <row r="24" spans="1:14" ht="13.5" thickTop="1" x14ac:dyDescent="0.2">
      <c r="A24" s="250" t="s">
        <v>320</v>
      </c>
      <c r="B24" s="260" t="s">
        <v>175</v>
      </c>
      <c r="C24" s="263" t="s">
        <v>378</v>
      </c>
      <c r="D24" s="261">
        <v>330</v>
      </c>
      <c r="E24" s="257">
        <v>2014</v>
      </c>
      <c r="F24" s="263" t="s">
        <v>379</v>
      </c>
      <c r="G24" s="261">
        <v>255</v>
      </c>
      <c r="H24" s="257">
        <v>2013</v>
      </c>
      <c r="I24" s="263" t="s">
        <v>380</v>
      </c>
      <c r="J24" s="261">
        <v>325</v>
      </c>
      <c r="K24" s="257">
        <v>2012</v>
      </c>
      <c r="L24" s="263" t="s">
        <v>380</v>
      </c>
      <c r="M24" s="261">
        <v>875</v>
      </c>
      <c r="N24" s="262">
        <v>2014</v>
      </c>
    </row>
    <row r="25" spans="1:14" x14ac:dyDescent="0.2">
      <c r="A25" s="250" t="s">
        <v>320</v>
      </c>
      <c r="B25" s="255" t="s">
        <v>176</v>
      </c>
      <c r="C25" s="263" t="s">
        <v>381</v>
      </c>
      <c r="D25" s="256">
        <v>303</v>
      </c>
      <c r="E25" s="257" t="s">
        <v>368</v>
      </c>
      <c r="F25" s="263" t="s">
        <v>382</v>
      </c>
      <c r="G25" s="256">
        <v>220</v>
      </c>
      <c r="H25" s="257">
        <v>2015</v>
      </c>
      <c r="I25" s="263" t="s">
        <v>383</v>
      </c>
      <c r="J25" s="256">
        <v>290</v>
      </c>
      <c r="K25" s="257">
        <v>2016</v>
      </c>
      <c r="L25" s="263" t="s">
        <v>381</v>
      </c>
      <c r="M25" s="256">
        <v>785</v>
      </c>
      <c r="N25" s="262">
        <v>2019</v>
      </c>
    </row>
    <row r="26" spans="1:14" x14ac:dyDescent="0.2">
      <c r="A26" s="250" t="s">
        <v>320</v>
      </c>
      <c r="B26" s="260" t="s">
        <v>179</v>
      </c>
      <c r="C26" s="263" t="s">
        <v>329</v>
      </c>
      <c r="D26" s="256">
        <v>290</v>
      </c>
      <c r="E26" s="257">
        <v>2013</v>
      </c>
      <c r="F26" s="263" t="s">
        <v>384</v>
      </c>
      <c r="G26" s="256">
        <v>217.5</v>
      </c>
      <c r="H26" s="257">
        <v>2017</v>
      </c>
      <c r="I26" s="263" t="s">
        <v>329</v>
      </c>
      <c r="J26" s="256">
        <v>275</v>
      </c>
      <c r="K26" s="257">
        <v>2013</v>
      </c>
      <c r="L26" s="263" t="s">
        <v>329</v>
      </c>
      <c r="M26" s="256">
        <v>755</v>
      </c>
      <c r="N26" s="262">
        <v>2013</v>
      </c>
    </row>
    <row r="27" spans="1:14" x14ac:dyDescent="0.2">
      <c r="A27" s="250" t="s">
        <v>320</v>
      </c>
      <c r="B27" s="260" t="s">
        <v>181</v>
      </c>
      <c r="C27" s="280" t="s">
        <v>385</v>
      </c>
      <c r="D27" s="264">
        <v>252.5</v>
      </c>
      <c r="E27" s="253">
        <v>2011</v>
      </c>
      <c r="F27" s="280" t="s">
        <v>385</v>
      </c>
      <c r="G27" s="264">
        <v>160</v>
      </c>
      <c r="H27" s="253">
        <v>2012</v>
      </c>
      <c r="I27" s="280" t="s">
        <v>385</v>
      </c>
      <c r="J27" s="264">
        <v>255</v>
      </c>
      <c r="K27" s="253">
        <v>2013</v>
      </c>
      <c r="L27" s="280" t="s">
        <v>385</v>
      </c>
      <c r="M27" s="264">
        <v>665</v>
      </c>
      <c r="N27" s="254">
        <v>2012</v>
      </c>
    </row>
    <row r="28" spans="1:14" ht="13.5" thickBot="1" x14ac:dyDescent="0.25">
      <c r="A28" s="281" t="s">
        <v>320</v>
      </c>
      <c r="B28" s="266" t="s">
        <v>183</v>
      </c>
      <c r="C28" s="248"/>
      <c r="D28" s="312"/>
      <c r="E28" s="267"/>
      <c r="F28" s="248"/>
      <c r="G28" s="312"/>
      <c r="H28" s="267"/>
      <c r="I28" s="248"/>
      <c r="J28" s="312"/>
      <c r="K28" s="267"/>
      <c r="L28" s="248"/>
      <c r="M28" s="312"/>
      <c r="N28" s="268"/>
    </row>
    <row r="29" spans="1:14" ht="13.5" thickTop="1" x14ac:dyDescent="0.2">
      <c r="A29" s="250" t="s">
        <v>333</v>
      </c>
      <c r="B29" s="260" t="s">
        <v>175</v>
      </c>
      <c r="C29" s="263" t="s">
        <v>386</v>
      </c>
      <c r="D29" s="256">
        <v>392.5</v>
      </c>
      <c r="E29" s="257">
        <v>2017</v>
      </c>
      <c r="F29" s="273" t="s">
        <v>379</v>
      </c>
      <c r="G29" s="256">
        <v>315</v>
      </c>
      <c r="H29" s="257">
        <v>2019</v>
      </c>
      <c r="I29" s="273" t="s">
        <v>386</v>
      </c>
      <c r="J29" s="256">
        <v>360</v>
      </c>
      <c r="K29" s="257">
        <v>2014</v>
      </c>
      <c r="L29" s="273" t="s">
        <v>386</v>
      </c>
      <c r="M29" s="256">
        <v>1020</v>
      </c>
      <c r="N29" s="262">
        <v>2017</v>
      </c>
    </row>
    <row r="30" spans="1:14" x14ac:dyDescent="0.2">
      <c r="A30" s="250" t="s">
        <v>333</v>
      </c>
      <c r="B30" s="260" t="s">
        <v>176</v>
      </c>
      <c r="C30" s="263" t="s">
        <v>387</v>
      </c>
      <c r="D30" s="256">
        <v>320</v>
      </c>
      <c r="E30" s="257">
        <v>2012</v>
      </c>
      <c r="F30" s="263" t="s">
        <v>387</v>
      </c>
      <c r="G30" s="256">
        <v>250</v>
      </c>
      <c r="H30" s="257">
        <v>2012</v>
      </c>
      <c r="I30" s="263" t="s">
        <v>387</v>
      </c>
      <c r="J30" s="256">
        <v>290</v>
      </c>
      <c r="K30" s="257">
        <v>2012</v>
      </c>
      <c r="L30" s="263" t="s">
        <v>387</v>
      </c>
      <c r="M30" s="256">
        <v>860</v>
      </c>
      <c r="N30" s="262">
        <v>2012</v>
      </c>
    </row>
    <row r="31" spans="1:14" x14ac:dyDescent="0.2">
      <c r="A31" s="250" t="s">
        <v>333</v>
      </c>
      <c r="B31" s="255" t="s">
        <v>179</v>
      </c>
      <c r="C31" s="263" t="s">
        <v>388</v>
      </c>
      <c r="D31" s="261">
        <v>312.5</v>
      </c>
      <c r="E31" s="257">
        <v>2014</v>
      </c>
      <c r="F31" s="263" t="s">
        <v>389</v>
      </c>
      <c r="G31" s="261">
        <v>235</v>
      </c>
      <c r="H31" s="257">
        <v>2017</v>
      </c>
      <c r="I31" s="263" t="s">
        <v>390</v>
      </c>
      <c r="J31" s="261">
        <v>275.5</v>
      </c>
      <c r="K31" s="257" t="s">
        <v>391</v>
      </c>
      <c r="L31" s="263" t="s">
        <v>388</v>
      </c>
      <c r="M31" s="261">
        <v>757.5</v>
      </c>
      <c r="N31" s="262">
        <v>2014</v>
      </c>
    </row>
    <row r="32" spans="1:14" x14ac:dyDescent="0.2">
      <c r="A32" s="250" t="s">
        <v>333</v>
      </c>
      <c r="B32" s="255" t="s">
        <v>181</v>
      </c>
      <c r="C32" s="280" t="s">
        <v>392</v>
      </c>
      <c r="D32" s="252">
        <v>250</v>
      </c>
      <c r="E32" s="253">
        <v>2013</v>
      </c>
      <c r="F32" s="280" t="s">
        <v>340</v>
      </c>
      <c r="G32" s="252">
        <v>165</v>
      </c>
      <c r="H32" s="253">
        <v>2019</v>
      </c>
      <c r="I32" s="280" t="s">
        <v>392</v>
      </c>
      <c r="J32" s="252">
        <v>250</v>
      </c>
      <c r="K32" s="253">
        <v>2013</v>
      </c>
      <c r="L32" s="280" t="s">
        <v>392</v>
      </c>
      <c r="M32" s="252">
        <v>635</v>
      </c>
      <c r="N32" s="254">
        <v>2013</v>
      </c>
    </row>
    <row r="33" spans="1:14" ht="13.5" thickBot="1" x14ac:dyDescent="0.25">
      <c r="A33" s="281" t="s">
        <v>333</v>
      </c>
      <c r="B33" s="328" t="s">
        <v>183</v>
      </c>
      <c r="C33" s="248" t="s">
        <v>331</v>
      </c>
      <c r="D33" s="312">
        <v>235</v>
      </c>
      <c r="E33" s="247">
        <v>2017</v>
      </c>
      <c r="F33" s="248" t="s">
        <v>331</v>
      </c>
      <c r="G33" s="312">
        <v>125</v>
      </c>
      <c r="H33" s="247">
        <v>2017</v>
      </c>
      <c r="I33" s="248" t="s">
        <v>331</v>
      </c>
      <c r="J33" s="312">
        <v>235</v>
      </c>
      <c r="K33" s="247">
        <v>2017</v>
      </c>
      <c r="L33" s="248" t="s">
        <v>331</v>
      </c>
      <c r="M33" s="312">
        <v>595</v>
      </c>
      <c r="N33" s="249">
        <v>2017</v>
      </c>
    </row>
    <row r="34" spans="1:14" ht="13.5" thickTop="1" x14ac:dyDescent="0.2">
      <c r="A34" s="237" t="s">
        <v>343</v>
      </c>
      <c r="B34" s="260" t="s">
        <v>175</v>
      </c>
      <c r="C34" s="263" t="s">
        <v>386</v>
      </c>
      <c r="D34" s="256">
        <v>427.5</v>
      </c>
      <c r="E34" s="345" t="s">
        <v>393</v>
      </c>
      <c r="F34" s="263" t="s">
        <v>379</v>
      </c>
      <c r="G34" s="256">
        <v>320</v>
      </c>
      <c r="H34" s="257" t="s">
        <v>394</v>
      </c>
      <c r="I34" s="263" t="s">
        <v>386</v>
      </c>
      <c r="J34" s="256">
        <v>365</v>
      </c>
      <c r="K34" s="345" t="s">
        <v>393</v>
      </c>
      <c r="L34" s="263" t="s">
        <v>386</v>
      </c>
      <c r="M34" s="256">
        <v>1090</v>
      </c>
      <c r="N34" s="345" t="s">
        <v>393</v>
      </c>
    </row>
    <row r="35" spans="1:14" x14ac:dyDescent="0.2">
      <c r="A35" s="237" t="s">
        <v>343</v>
      </c>
      <c r="B35" s="255" t="s">
        <v>176</v>
      </c>
      <c r="C35" s="263"/>
      <c r="D35" s="261"/>
      <c r="E35" s="293"/>
      <c r="F35" s="263" t="s">
        <v>395</v>
      </c>
      <c r="G35" s="261">
        <v>230</v>
      </c>
      <c r="H35" s="257">
        <v>2014</v>
      </c>
      <c r="I35" s="263" t="s">
        <v>396</v>
      </c>
      <c r="J35" s="261">
        <v>302.5</v>
      </c>
      <c r="K35" s="257">
        <v>2014</v>
      </c>
      <c r="L35" s="263"/>
      <c r="M35" s="261"/>
      <c r="N35" s="292"/>
    </row>
    <row r="36" spans="1:14" x14ac:dyDescent="0.2">
      <c r="A36" s="237" t="s">
        <v>343</v>
      </c>
      <c r="B36" s="260" t="s">
        <v>179</v>
      </c>
      <c r="C36" s="263" t="s">
        <v>348</v>
      </c>
      <c r="D36" s="256">
        <v>285.5</v>
      </c>
      <c r="E36" s="257">
        <v>2019</v>
      </c>
      <c r="F36" s="263" t="s">
        <v>397</v>
      </c>
      <c r="G36" s="256">
        <v>197.5</v>
      </c>
      <c r="H36" s="257" t="s">
        <v>375</v>
      </c>
      <c r="I36" s="263" t="s">
        <v>348</v>
      </c>
      <c r="J36" s="256">
        <v>267.5</v>
      </c>
      <c r="K36" s="257">
        <v>2018</v>
      </c>
      <c r="L36" s="263" t="s">
        <v>348</v>
      </c>
      <c r="M36" s="256">
        <v>733</v>
      </c>
      <c r="N36" s="262">
        <v>2019</v>
      </c>
    </row>
    <row r="37" spans="1:14" x14ac:dyDescent="0.2">
      <c r="A37" s="237" t="s">
        <v>343</v>
      </c>
      <c r="B37" s="260" t="s">
        <v>181</v>
      </c>
      <c r="C37" s="280" t="s">
        <v>398</v>
      </c>
      <c r="D37" s="264">
        <v>265</v>
      </c>
      <c r="E37" s="253">
        <v>2014</v>
      </c>
      <c r="F37" s="280" t="s">
        <v>340</v>
      </c>
      <c r="G37" s="264">
        <v>195</v>
      </c>
      <c r="H37" s="253" t="s">
        <v>368</v>
      </c>
      <c r="I37" s="280" t="s">
        <v>340</v>
      </c>
      <c r="J37" s="264">
        <v>230</v>
      </c>
      <c r="K37" s="253" t="s">
        <v>368</v>
      </c>
      <c r="L37" s="280" t="s">
        <v>340</v>
      </c>
      <c r="M37" s="264">
        <v>665</v>
      </c>
      <c r="N37" s="254" t="s">
        <v>368</v>
      </c>
    </row>
    <row r="38" spans="1:14" ht="13.5" thickBot="1" x14ac:dyDescent="0.25">
      <c r="A38" s="265" t="s">
        <v>343</v>
      </c>
      <c r="B38" s="266" t="s">
        <v>183</v>
      </c>
      <c r="C38" s="248"/>
      <c r="D38" s="312"/>
      <c r="E38" s="267"/>
      <c r="F38" s="248"/>
      <c r="G38" s="312"/>
      <c r="H38" s="267"/>
      <c r="I38" s="248"/>
      <c r="J38" s="312"/>
      <c r="K38" s="267"/>
      <c r="L38" s="248"/>
      <c r="M38" s="312"/>
      <c r="N38" s="268"/>
    </row>
    <row r="39" spans="1:14" ht="13.5" thickTop="1" x14ac:dyDescent="0.2">
      <c r="A39" s="250" t="s">
        <v>353</v>
      </c>
      <c r="B39" s="260" t="s">
        <v>175</v>
      </c>
      <c r="C39" s="263" t="s">
        <v>399</v>
      </c>
      <c r="D39" s="256">
        <v>300</v>
      </c>
      <c r="E39" s="257" t="s">
        <v>368</v>
      </c>
      <c r="F39" s="263" t="s">
        <v>400</v>
      </c>
      <c r="G39" s="256">
        <v>295</v>
      </c>
      <c r="H39" s="257">
        <v>2013</v>
      </c>
      <c r="I39" s="263" t="s">
        <v>401</v>
      </c>
      <c r="J39" s="256">
        <v>310.5</v>
      </c>
      <c r="K39" s="257" t="s">
        <v>368</v>
      </c>
      <c r="L39" s="263" t="s">
        <v>400</v>
      </c>
      <c r="M39" s="256">
        <v>945</v>
      </c>
      <c r="N39" s="262">
        <v>2013</v>
      </c>
    </row>
    <row r="40" spans="1:14" x14ac:dyDescent="0.2">
      <c r="A40" s="250" t="s">
        <v>353</v>
      </c>
      <c r="B40" s="255" t="s">
        <v>176</v>
      </c>
      <c r="C40" s="263"/>
      <c r="D40" s="261"/>
      <c r="E40" s="293"/>
      <c r="F40" s="263" t="s">
        <v>397</v>
      </c>
      <c r="G40" s="261">
        <v>210</v>
      </c>
      <c r="H40" s="257">
        <v>2014</v>
      </c>
      <c r="I40" s="263"/>
      <c r="J40" s="261"/>
      <c r="K40" s="293"/>
      <c r="L40" s="263" t="s">
        <v>402</v>
      </c>
      <c r="M40" s="261">
        <v>790</v>
      </c>
      <c r="N40" s="333">
        <v>2015</v>
      </c>
    </row>
    <row r="41" spans="1:14" x14ac:dyDescent="0.2">
      <c r="A41" s="290" t="s">
        <v>353</v>
      </c>
      <c r="B41" s="255" t="s">
        <v>179</v>
      </c>
      <c r="C41" s="263" t="s">
        <v>359</v>
      </c>
      <c r="D41" s="291">
        <v>235</v>
      </c>
      <c r="E41" s="257" t="s">
        <v>368</v>
      </c>
      <c r="F41" s="263" t="s">
        <v>359</v>
      </c>
      <c r="G41" s="291">
        <v>215</v>
      </c>
      <c r="H41" s="257">
        <v>2018</v>
      </c>
      <c r="I41" s="263" t="s">
        <v>359</v>
      </c>
      <c r="J41" s="291">
        <v>305</v>
      </c>
      <c r="K41" s="257">
        <v>2019</v>
      </c>
      <c r="L41" s="263" t="s">
        <v>359</v>
      </c>
      <c r="M41" s="291">
        <v>757.5</v>
      </c>
      <c r="N41" s="262">
        <v>2018</v>
      </c>
    </row>
    <row r="42" spans="1:14" x14ac:dyDescent="0.2">
      <c r="A42" s="290" t="s">
        <v>353</v>
      </c>
      <c r="B42" s="255" t="s">
        <v>181</v>
      </c>
      <c r="C42" s="263"/>
      <c r="D42" s="334"/>
      <c r="E42" s="274"/>
      <c r="F42" s="263"/>
      <c r="G42" s="334"/>
      <c r="H42" s="274"/>
      <c r="I42" s="263"/>
      <c r="J42" s="334"/>
      <c r="K42" s="346"/>
      <c r="L42" s="263"/>
      <c r="M42" s="334"/>
      <c r="N42" s="285"/>
    </row>
    <row r="43" spans="1:14" ht="13.5" thickBot="1" x14ac:dyDescent="0.25">
      <c r="A43" s="336" t="s">
        <v>353</v>
      </c>
      <c r="B43" s="337" t="s">
        <v>183</v>
      </c>
      <c r="C43" s="248"/>
      <c r="D43" s="311"/>
      <c r="E43" s="267"/>
      <c r="F43" s="248"/>
      <c r="G43" s="311"/>
      <c r="H43" s="267"/>
      <c r="I43" s="248"/>
      <c r="J43" s="311"/>
      <c r="K43" s="347"/>
      <c r="L43" s="248"/>
      <c r="M43" s="311"/>
      <c r="N43" s="268"/>
    </row>
    <row r="44" spans="1:14" ht="13.5" thickTop="1" x14ac:dyDescent="0.2"/>
  </sheetData>
  <mergeCells count="5">
    <mergeCell ref="A2:B3"/>
    <mergeCell ref="F2:H2"/>
    <mergeCell ref="I2:K2"/>
    <mergeCell ref="L2:N2"/>
    <mergeCell ref="A1:N1"/>
  </mergeCells>
  <conditionalFormatting sqref="C4:C43 F4:F43 I4:I43 L4:L43">
    <cfRule type="cellIs" dxfId="0" priority="1" stopIfTrue="1" operator="equal">
      <formula>" + 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/>
  <dimension ref="A1:Q13"/>
  <sheetViews>
    <sheetView zoomScale="48" zoomScaleNormal="48" workbookViewId="0">
      <selection activeCell="D39" sqref="D39"/>
    </sheetView>
  </sheetViews>
  <sheetFormatPr baseColWidth="10" defaultColWidth="8.85546875" defaultRowHeight="12.75" x14ac:dyDescent="0.2"/>
  <cols>
    <col min="1" max="1" width="38.28515625" customWidth="1"/>
    <col min="2" max="2" width="45.5703125" bestFit="1" customWidth="1"/>
    <col min="3" max="3" width="85.42578125" style="182" customWidth="1"/>
    <col min="4" max="4" width="100" style="182" customWidth="1"/>
  </cols>
  <sheetData>
    <row r="1" spans="1:17" ht="13.5" thickBot="1" x14ac:dyDescent="0.25">
      <c r="A1" s="203" t="s">
        <v>118</v>
      </c>
      <c r="B1" s="204" t="s">
        <v>122</v>
      </c>
      <c r="C1" s="205" t="s">
        <v>124</v>
      </c>
      <c r="D1" s="206" t="s">
        <v>119</v>
      </c>
    </row>
    <row r="2" spans="1:17" ht="25.5" x14ac:dyDescent="0.2">
      <c r="A2" s="209" t="s">
        <v>120</v>
      </c>
      <c r="B2" s="210" t="s">
        <v>133</v>
      </c>
      <c r="C2" s="211" t="s">
        <v>139</v>
      </c>
      <c r="D2" s="212" t="s">
        <v>135</v>
      </c>
    </row>
    <row r="3" spans="1:17" x14ac:dyDescent="0.2">
      <c r="A3" s="188" t="s">
        <v>121</v>
      </c>
      <c r="B3" s="184" t="s">
        <v>123</v>
      </c>
      <c r="C3" s="185" t="s">
        <v>125</v>
      </c>
      <c r="D3" s="189" t="s">
        <v>125</v>
      </c>
      <c r="F3" s="202" t="s">
        <v>152</v>
      </c>
      <c r="Q3" s="201"/>
    </row>
    <row r="4" spans="1:17" x14ac:dyDescent="0.2">
      <c r="A4" s="188" t="s">
        <v>121</v>
      </c>
      <c r="B4" s="184" t="s">
        <v>140</v>
      </c>
      <c r="C4" s="185" t="s">
        <v>141</v>
      </c>
      <c r="D4" s="189" t="s">
        <v>134</v>
      </c>
    </row>
    <row r="5" spans="1:17" x14ac:dyDescent="0.2">
      <c r="A5" s="190" t="s">
        <v>126</v>
      </c>
      <c r="B5" s="186" t="s">
        <v>127</v>
      </c>
      <c r="C5" s="187" t="s">
        <v>128</v>
      </c>
      <c r="D5" s="189" t="s">
        <v>136</v>
      </c>
    </row>
    <row r="6" spans="1:17" ht="25.5" x14ac:dyDescent="0.2">
      <c r="A6" s="190" t="s">
        <v>126</v>
      </c>
      <c r="B6" s="186" t="s">
        <v>127</v>
      </c>
      <c r="C6" s="187" t="s">
        <v>129</v>
      </c>
      <c r="D6" s="213" t="s">
        <v>130</v>
      </c>
    </row>
    <row r="7" spans="1:17" x14ac:dyDescent="0.2">
      <c r="A7" s="190" t="s">
        <v>131</v>
      </c>
      <c r="B7" s="186" t="s">
        <v>127</v>
      </c>
      <c r="C7" s="187" t="s">
        <v>128</v>
      </c>
      <c r="D7" s="189" t="s">
        <v>137</v>
      </c>
    </row>
    <row r="8" spans="1:17" x14ac:dyDescent="0.2">
      <c r="A8" s="190" t="s">
        <v>131</v>
      </c>
      <c r="B8" s="186" t="s">
        <v>127</v>
      </c>
      <c r="C8" s="187" t="s">
        <v>129</v>
      </c>
      <c r="D8" s="189" t="s">
        <v>130</v>
      </c>
    </row>
    <row r="9" spans="1:17" x14ac:dyDescent="0.2">
      <c r="A9" s="190" t="s">
        <v>132</v>
      </c>
      <c r="B9" s="186" t="s">
        <v>127</v>
      </c>
      <c r="C9" s="187" t="s">
        <v>128</v>
      </c>
      <c r="D9" s="189" t="s">
        <v>138</v>
      </c>
    </row>
    <row r="10" spans="1:17" ht="25.5" x14ac:dyDescent="0.2">
      <c r="A10" s="190" t="s">
        <v>132</v>
      </c>
      <c r="B10" s="186" t="s">
        <v>127</v>
      </c>
      <c r="C10" s="187" t="s">
        <v>129</v>
      </c>
      <c r="D10" s="213" t="s">
        <v>130</v>
      </c>
    </row>
    <row r="11" spans="1:17" ht="25.5" x14ac:dyDescent="0.2">
      <c r="A11" s="188" t="s">
        <v>142</v>
      </c>
      <c r="B11" s="207" t="s">
        <v>144</v>
      </c>
      <c r="C11" s="208" t="s">
        <v>145</v>
      </c>
      <c r="D11" s="213" t="s">
        <v>147</v>
      </c>
    </row>
    <row r="12" spans="1:17" x14ac:dyDescent="0.2">
      <c r="A12" s="188" t="s">
        <v>143</v>
      </c>
      <c r="B12" s="184" t="s">
        <v>144</v>
      </c>
      <c r="C12" s="185" t="s">
        <v>146</v>
      </c>
      <c r="D12" s="189"/>
    </row>
    <row r="13" spans="1:17" ht="13.5" thickBot="1" x14ac:dyDescent="0.25">
      <c r="A13" s="214" t="s">
        <v>148</v>
      </c>
      <c r="B13" s="215" t="s">
        <v>149</v>
      </c>
      <c r="C13" s="216" t="s">
        <v>150</v>
      </c>
      <c r="D13" s="217" t="s">
        <v>151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1</vt:i4>
      </vt:variant>
    </vt:vector>
  </HeadingPairs>
  <TitlesOfParts>
    <vt:vector size="11" baseType="lpstr">
      <vt:lpstr>FA</vt:lpstr>
      <vt:lpstr>Engagements</vt:lpstr>
      <vt:lpstr>Niv FA</vt:lpstr>
      <vt:lpstr>Niv PL</vt:lpstr>
      <vt:lpstr>Cat. d'âge</vt:lpstr>
      <vt:lpstr>Records_FA_F</vt:lpstr>
      <vt:lpstr>Records FA_H</vt:lpstr>
      <vt:lpstr>Records PL_F</vt:lpstr>
      <vt:lpstr>Records PL_H</vt:lpstr>
      <vt:lpstr>Aide</vt:lpstr>
      <vt:lpstr>listeRégions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Xavier</dc:creator>
  <dc:description>V7</dc:description>
  <cp:lastModifiedBy>Simon ROBINET</cp:lastModifiedBy>
  <cp:lastPrinted>2023-04-05T11:47:52Z</cp:lastPrinted>
  <dcterms:created xsi:type="dcterms:W3CDTF">2000-12-17T10:37:48Z</dcterms:created>
  <dcterms:modified xsi:type="dcterms:W3CDTF">2025-09-05T10:40:04Z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LGN">
    <vt:lpwstr>MAJ du 08/10/2013</vt:lpwstr>
  </property>
</Properties>
</file>